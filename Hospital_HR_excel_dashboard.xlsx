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INDIA\Desktop\self_project\"/>
    </mc:Choice>
  </mc:AlternateContent>
  <xr:revisionPtr revIDLastSave="0" documentId="8_{667BB3FB-A1A6-423E-B684-7FBF8E497096}" xr6:coauthVersionLast="47" xr6:coauthVersionMax="47" xr10:uidLastSave="{00000000-0000-0000-0000-000000000000}"/>
  <bookViews>
    <workbookView xWindow="-120" yWindow="-120" windowWidth="20730" windowHeight="11040" firstSheet="1" activeTab="4" xr2:uid="{B59787A5-DF2D-418D-8D4C-F05CFE3B01BE}"/>
  </bookViews>
  <sheets>
    <sheet name="Pivot Report" sheetId="1" r:id="rId1"/>
    <sheet name="Average Waiting Time Daily" sheetId="5" r:id="rId2"/>
    <sheet name="Daily ER No of Patients" sheetId="4" r:id="rId3"/>
    <sheet name="Satisfaction Score Daily" sheetId="6" r:id="rId4"/>
    <sheet name="Dashboard" sheetId="3" r:id="rId5"/>
  </sheets>
  <definedNames>
    <definedName name="_xlcn.WorksheetConnection_hospital_data.xlsxHospital_Emergency_Room_Data1" hidden="1">Hospital_Emergency_Room_Data</definedName>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be484de5-5529-48d1-998d-e3934aa00b0d" name="Calendar_table" connection="Query - Calendar_table"/>
          <x15:modelTable id="Hospital_Emergency_Room_Data" name="Hospital_Emergency_Room_Data" connection="WorksheetConnection_hospital_data.xlsx!Hospital_Emergency_Room_Data"/>
        </x15:modelTables>
        <x15:modelRelationships>
          <x15:modelRelationship fromTable="Hospital_Emergency_Room_Data"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 l="1"/>
  <c r="C54" i="1"/>
  <c r="B55" i="1"/>
  <c r="B54" i="1"/>
  <c r="A54" i="1"/>
  <c r="A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7B899C-D48F-4746-A553-1606613DBA77}" name="Query - Calendar_table" description="Connection to the 'Calendar_table' query in the workbook." type="100" refreshedVersion="8" minRefreshableVersion="5">
    <extLst>
      <ext xmlns:x15="http://schemas.microsoft.com/office/spreadsheetml/2010/11/main" uri="{DE250136-89BD-433C-8126-D09CA5730AF9}">
        <x15:connection id="9f8cafc1-b1c3-4829-b3d6-19f335454282"/>
      </ext>
    </extLst>
  </connection>
  <connection id="2" xr16:uid="{AD6BC601-DFF2-4B73-A6F4-A47A7E1661CB}"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A6A10F66-CBCF-404E-89EA-0689D1F5F99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9CFA9D44-C3DD-4AC1-955A-EB7AE1F67829}" name="WorksheetConnection_hospital_data.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hospital_data.xlsxHospital_Emergency_Room_Data1"/>
        </x15:connection>
      </ext>
    </extLst>
  </connection>
</connections>
</file>

<file path=xl/sharedStrings.xml><?xml version="1.0" encoding="utf-8"?>
<sst xmlns="http://schemas.openxmlformats.org/spreadsheetml/2006/main" count="156" uniqueCount="74">
  <si>
    <t>Distinct Count of Patient Id</t>
  </si>
  <si>
    <t>Average of Patient Waittime</t>
  </si>
  <si>
    <t>No of patients</t>
  </si>
  <si>
    <t>Average of Patient Satisfaction Score</t>
  </si>
  <si>
    <t>Row Labels</t>
  </si>
  <si>
    <t>Grand Total</t>
  </si>
  <si>
    <t>average waiting time</t>
  </si>
  <si>
    <t>daily trends of no of patients</t>
  </si>
  <si>
    <t>Sum of Patient Satisfaction Score</t>
  </si>
  <si>
    <t xml:space="preserve">satisfaction score </t>
  </si>
  <si>
    <t>Not Admitted</t>
  </si>
  <si>
    <t>Delay</t>
  </si>
  <si>
    <t>Admitted</t>
  </si>
  <si>
    <t>Ontime</t>
  </si>
  <si>
    <t>Count of Patient Admission Flag</t>
  </si>
  <si>
    <t>Count of Patient Admission Flag2</t>
  </si>
  <si>
    <t>Admission Status</t>
  </si>
  <si>
    <t>%Status</t>
  </si>
  <si>
    <t>Patients</t>
  </si>
  <si>
    <t>age wise group analysis</t>
  </si>
  <si>
    <t>Count of Patient Id</t>
  </si>
  <si>
    <t>attended status</t>
  </si>
  <si>
    <t>Female</t>
  </si>
  <si>
    <t>Male</t>
  </si>
  <si>
    <t>gendere wise analysis</t>
  </si>
  <si>
    <t>Cardiology</t>
  </si>
  <si>
    <t>Gastroenterology</t>
  </si>
  <si>
    <t>General Practice</t>
  </si>
  <si>
    <t>Neurology</t>
  </si>
  <si>
    <t>None</t>
  </si>
  <si>
    <t>Orthopedics</t>
  </si>
  <si>
    <t>Physiotherapy</t>
  </si>
  <si>
    <t>Renal</t>
  </si>
  <si>
    <t>Count of Department Referral</t>
  </si>
  <si>
    <t>0-09</t>
  </si>
  <si>
    <t>10-19</t>
  </si>
  <si>
    <t>20-29</t>
  </si>
  <si>
    <t>30-39</t>
  </si>
  <si>
    <t>40-49</t>
  </si>
  <si>
    <t>50-59</t>
  </si>
  <si>
    <t>60-69</t>
  </si>
  <si>
    <t>70-79</t>
  </si>
  <si>
    <t>2023</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</si>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</sst>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0" tint="-0.14999847407452621"/>
        <bgColor indexed="64"/>
      </patternFill>
    </fill>
    <fill>
      <patternFill patternType="solid">
        <fgColor rgb="FF599F98"/>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3" borderId="0" xfId="0" applyFill="1" applyAlignment="1">
      <alignment horizontal="center"/>
    </xf>
    <xf numFmtId="9" fontId="0" fillId="3" borderId="0" xfId="1" applyFont="1" applyFill="1" applyAlignment="1">
      <alignment horizontal="center"/>
    </xf>
  </cellXfs>
  <cellStyles count="2">
    <cellStyle name="Normal" xfId="0" builtinId="0"/>
    <cellStyle name="Percent" xfId="1" builtinId="5"/>
  </cellStyles>
  <dxfs count="13">
    <dxf>
      <numFmt numFmtId="2" formatCode="0.00"/>
    </dxf>
    <dxf>
      <numFmt numFmtId="1" formatCode="0"/>
    </dxf>
    <dxf>
      <numFmt numFmtId="1" formatCode="0"/>
    </dxf>
    <dxf>
      <numFmt numFmtId="1" formatCode="0"/>
    </dxf>
    <dxf>
      <numFmt numFmtId="2" formatCode="0.00"/>
    </dxf>
    <dxf>
      <numFmt numFmtId="1" formatCode="0"/>
    </dxf>
    <dxf>
      <numFmt numFmtId="14" formatCode="0.00%"/>
    </dxf>
    <dxf>
      <numFmt numFmtId="1" formatCode="0"/>
    </dxf>
    <dxf>
      <numFmt numFmtId="1" formatCode="0"/>
    </dxf>
    <dxf>
      <numFmt numFmtId="2" formatCode="0.00"/>
    </dxf>
    <dxf>
      <numFmt numFmtId="1" formatCode="0"/>
    </dxf>
    <dxf>
      <font>
        <b/>
        <color theme="1"/>
      </font>
      <border>
        <bottom style="thin">
          <color theme="5"/>
        </bottom>
        <vertical/>
        <horizontal/>
      </border>
    </dxf>
    <dxf>
      <font>
        <sz val="7"/>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700B7ECF-81A3-4BD2-8CCF-7F5D9630698C}">
      <tableStyleElement type="wholeTable" dxfId="12"/>
      <tableStyleElement type="headerRow" dxfId="11"/>
    </tableStyle>
  </tableStyles>
  <colors>
    <mruColors>
      <color rgb="FF599F9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Report!PivotTable7</c:name>
    <c:fmtId val="0"/>
  </c:pivotSource>
  <c:chart>
    <c:autoTitleDeleted val="1"/>
    <c:pivotFmts>
      <c:pivotFmt>
        <c:idx val="0"/>
        <c:spPr>
          <a:solidFill>
            <a:srgbClr val="599F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a:noFill/>
          </a:ln>
          <a:effectLst/>
        </c:spPr>
      </c:pivotFmt>
      <c:pivotFmt>
        <c:idx val="3"/>
        <c:spPr>
          <a:solidFill>
            <a:srgbClr val="599F98"/>
          </a:solidFill>
          <a:ln>
            <a:noFill/>
          </a:ln>
          <a:effectLst/>
        </c:spPr>
      </c:pivotFmt>
    </c:pivotFmts>
    <c:plotArea>
      <c:layout>
        <c:manualLayout>
          <c:layoutTarget val="inner"/>
          <c:xMode val="edge"/>
          <c:yMode val="edge"/>
          <c:x val="1.6045002801616092E-2"/>
          <c:y val="0.17498994443876331"/>
          <c:w val="0.34425137869002331"/>
          <c:h val="0.61065821317789826"/>
        </c:manualLayout>
      </c:layout>
      <c:barChart>
        <c:barDir val="bar"/>
        <c:grouping val="clustered"/>
        <c:varyColors val="0"/>
        <c:ser>
          <c:idx val="0"/>
          <c:order val="0"/>
          <c:tx>
            <c:strRef>
              <c:f>'Pivot Report'!$B$46</c:f>
              <c:strCache>
                <c:ptCount val="1"/>
                <c:pt idx="0">
                  <c:v>Count of Patient Admission Flag2</c:v>
                </c:pt>
              </c:strCache>
            </c:strRef>
          </c:tx>
          <c:spPr>
            <a:solidFill>
              <a:srgbClr val="599F98"/>
            </a:solidFill>
            <a:ln>
              <a:noFill/>
            </a:ln>
            <a:effectLst/>
          </c:spPr>
          <c:invertIfNegative val="0"/>
          <c:cat>
            <c:strRef>
              <c:f>'Pivot Report'!$A$47:$A$49</c:f>
              <c:strCache>
                <c:ptCount val="2"/>
                <c:pt idx="0">
                  <c:v>Admitted</c:v>
                </c:pt>
                <c:pt idx="1">
                  <c:v>Not Admitted</c:v>
                </c:pt>
              </c:strCache>
            </c:strRef>
          </c:cat>
          <c:val>
            <c:numRef>
              <c:f>'Pivot Report'!$B$47:$B$49</c:f>
              <c:numCache>
                <c:formatCode>0</c:formatCode>
                <c:ptCount val="2"/>
                <c:pt idx="0">
                  <c:v>239</c:v>
                </c:pt>
                <c:pt idx="1">
                  <c:v>254</c:v>
                </c:pt>
              </c:numCache>
            </c:numRef>
          </c:val>
          <c:extLst>
            <c:ext xmlns:c16="http://schemas.microsoft.com/office/drawing/2014/chart" uri="{C3380CC4-5D6E-409C-BE32-E72D297353CC}">
              <c16:uniqueId val="{00000009-038C-474A-8779-32B82D3297D3}"/>
            </c:ext>
          </c:extLst>
        </c:ser>
        <c:ser>
          <c:idx val="1"/>
          <c:order val="1"/>
          <c:tx>
            <c:strRef>
              <c:f>'Pivot Report'!$C$46</c:f>
              <c:strCache>
                <c:ptCount val="1"/>
                <c:pt idx="0">
                  <c:v>Count of Patient Admission Flag</c:v>
                </c:pt>
              </c:strCache>
            </c:strRef>
          </c:tx>
          <c:spPr>
            <a:solidFill>
              <a:schemeClr val="accent2"/>
            </a:solidFill>
            <a:ln>
              <a:noFill/>
            </a:ln>
            <a:effectLst/>
          </c:spPr>
          <c:invertIfNegative val="0"/>
          <c:cat>
            <c:strRef>
              <c:f>'Pivot Report'!$A$47:$A$49</c:f>
              <c:strCache>
                <c:ptCount val="2"/>
                <c:pt idx="0">
                  <c:v>Admitted</c:v>
                </c:pt>
                <c:pt idx="1">
                  <c:v>Not Admitted</c:v>
                </c:pt>
              </c:strCache>
            </c:strRef>
          </c:cat>
          <c:val>
            <c:numRef>
              <c:f>'Pivot Report'!$C$47:$C$49</c:f>
              <c:numCache>
                <c:formatCode>0.00%</c:formatCode>
                <c:ptCount val="2"/>
                <c:pt idx="0">
                  <c:v>0.48478701825557807</c:v>
                </c:pt>
                <c:pt idx="1">
                  <c:v>0.51521298174442187</c:v>
                </c:pt>
              </c:numCache>
            </c:numRef>
          </c:val>
          <c:extLst>
            <c:ext xmlns:c16="http://schemas.microsoft.com/office/drawing/2014/chart" uri="{C3380CC4-5D6E-409C-BE32-E72D297353CC}">
              <c16:uniqueId val="{0000000A-038C-474A-8779-32B82D3297D3}"/>
            </c:ext>
          </c:extLst>
        </c:ser>
        <c:dLbls>
          <c:showLegendKey val="0"/>
          <c:showVal val="0"/>
          <c:showCatName val="0"/>
          <c:showSerName val="0"/>
          <c:showPercent val="0"/>
          <c:showBubbleSize val="0"/>
        </c:dLbls>
        <c:gapWidth val="182"/>
        <c:axId val="973790751"/>
        <c:axId val="973791711"/>
      </c:barChart>
      <c:catAx>
        <c:axId val="973790751"/>
        <c:scaling>
          <c:orientation val="minMax"/>
        </c:scaling>
        <c:delete val="1"/>
        <c:axPos val="l"/>
        <c:numFmt formatCode="General" sourceLinked="1"/>
        <c:majorTickMark val="none"/>
        <c:minorTickMark val="none"/>
        <c:tickLblPos val="nextTo"/>
        <c:crossAx val="973791711"/>
        <c:crosses val="autoZero"/>
        <c:auto val="1"/>
        <c:lblAlgn val="ctr"/>
        <c:lblOffset val="100"/>
        <c:noMultiLvlLbl val="0"/>
      </c:catAx>
      <c:valAx>
        <c:axId val="973791711"/>
        <c:scaling>
          <c:orientation val="minMax"/>
        </c:scaling>
        <c:delete val="1"/>
        <c:axPos val="b"/>
        <c:numFmt formatCode="0" sourceLinked="1"/>
        <c:majorTickMark val="none"/>
        <c:minorTickMark val="none"/>
        <c:tickLblPos val="nextTo"/>
        <c:crossAx val="97379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Report!PivotTable12</c:name>
    <c:fmtId val="1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926859142607178"/>
          <c:y val="0.25"/>
          <c:w val="0.39444444444444443"/>
          <c:h val="0.65740740740740744"/>
        </c:manualLayout>
      </c:layout>
      <c:pieChart>
        <c:varyColors val="1"/>
        <c:ser>
          <c:idx val="0"/>
          <c:order val="0"/>
          <c:tx>
            <c:strRef>
              <c:f>'Pivot Report'!$F$78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8642-4EA2-87AD-95167B7A5F9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BF7-4D06-82CB-35C1E1E6E1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Report'!$E$79:$E$81</c:f>
              <c:strCache>
                <c:ptCount val="2"/>
                <c:pt idx="0">
                  <c:v>Delay</c:v>
                </c:pt>
                <c:pt idx="1">
                  <c:v>Ontime</c:v>
                </c:pt>
              </c:strCache>
            </c:strRef>
          </c:cat>
          <c:val>
            <c:numRef>
              <c:f>'Pivot Report'!$F$79:$F$81</c:f>
              <c:numCache>
                <c:formatCode>0</c:formatCode>
                <c:ptCount val="2"/>
                <c:pt idx="0">
                  <c:v>281</c:v>
                </c:pt>
                <c:pt idx="1">
                  <c:v>212</c:v>
                </c:pt>
              </c:numCache>
            </c:numRef>
          </c:val>
          <c:extLst>
            <c:ext xmlns:c16="http://schemas.microsoft.com/office/drawing/2014/chart" uri="{C3380CC4-5D6E-409C-BE32-E72D297353CC}">
              <c16:uniqueId val="{00000000-8642-4EA2-87AD-95167B7A5F9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909273840769903"/>
          <c:y val="6.5392971711869349E-2"/>
          <c:w val="0.49535170603674539"/>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Report!PivotTable4</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Report'!$J$11</c:f>
              <c:strCache>
                <c:ptCount val="1"/>
                <c:pt idx="0">
                  <c:v>Total</c:v>
                </c:pt>
              </c:strCache>
            </c:strRef>
          </c:tx>
          <c:spPr>
            <a:solidFill>
              <a:srgbClr val="599F98"/>
            </a:soli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Report'!$I$12:$I$43</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Report'!$J$12:$J$43</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5-6C17-4EED-B22B-F3E7348BB59D}"/>
            </c:ext>
          </c:extLst>
        </c:ser>
        <c:dLbls>
          <c:showLegendKey val="0"/>
          <c:showVal val="0"/>
          <c:showCatName val="0"/>
          <c:showSerName val="0"/>
          <c:showPercent val="0"/>
          <c:showBubbleSize val="0"/>
        </c:dLbls>
        <c:dropLines>
          <c:spPr>
            <a:ln w="9525" cap="flat" cmpd="sng" algn="ctr">
              <a:solidFill>
                <a:schemeClr val="bg1">
                  <a:lumMod val="95000"/>
                  <a:alpha val="40000"/>
                </a:schemeClr>
              </a:solidFill>
              <a:round/>
            </a:ln>
            <a:effectLst/>
          </c:spPr>
        </c:dropLines>
        <c:axId val="1310400623"/>
        <c:axId val="1310415503"/>
      </c:areaChart>
      <c:catAx>
        <c:axId val="13104006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10415503"/>
        <c:crosses val="autoZero"/>
        <c:auto val="1"/>
        <c:lblAlgn val="ctr"/>
        <c:lblOffset val="100"/>
        <c:noMultiLvlLbl val="0"/>
      </c:catAx>
      <c:valAx>
        <c:axId val="131041550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04006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Report!PivotTable6</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Report'!$F$11</c:f>
              <c:strCache>
                <c:ptCount val="1"/>
                <c:pt idx="0">
                  <c:v>Total</c:v>
                </c:pt>
              </c:strCache>
            </c:strRef>
          </c:tx>
          <c:spPr>
            <a:solidFill>
              <a:srgbClr val="599F98"/>
            </a:soli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Report'!$E$12:$E$43</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Report'!$F$12:$F$43</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5-1D54-4B66-86E2-153FE238FE1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32516960"/>
        <c:axId val="1832515520"/>
      </c:areaChart>
      <c:catAx>
        <c:axId val="18325169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32515520"/>
        <c:crosses val="autoZero"/>
        <c:auto val="1"/>
        <c:lblAlgn val="ctr"/>
        <c:lblOffset val="100"/>
        <c:noMultiLvlLbl val="0"/>
      </c:catAx>
      <c:valAx>
        <c:axId val="1832515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25169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rgbClr val="599F9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Report!PivotTable5</c:name>
    <c:fmtId val="1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Report'!$M$11</c:f>
              <c:strCache>
                <c:ptCount val="1"/>
                <c:pt idx="0">
                  <c:v>Total</c:v>
                </c:pt>
              </c:strCache>
            </c:strRef>
          </c:tx>
          <c:spPr>
            <a:solidFill>
              <a:srgbClr val="599F98"/>
            </a:soli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Report'!$L$12:$L$43</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Report'!$M$12:$M$43</c:f>
              <c:numCache>
                <c:formatCode>General</c:formatCode>
                <c:ptCount val="31"/>
                <c:pt idx="0">
                  <c:v>24</c:v>
                </c:pt>
                <c:pt idx="1">
                  <c:v>19</c:v>
                </c:pt>
                <c:pt idx="2">
                  <c:v>5</c:v>
                </c:pt>
                <c:pt idx="3">
                  <c:v>15</c:v>
                </c:pt>
                <c:pt idx="4">
                  <c:v>16</c:v>
                </c:pt>
                <c:pt idx="5">
                  <c:v>28</c:v>
                </c:pt>
                <c:pt idx="6">
                  <c:v>42</c:v>
                </c:pt>
                <c:pt idx="7">
                  <c:v>9</c:v>
                </c:pt>
                <c:pt idx="8">
                  <c:v>20</c:v>
                </c:pt>
                <c:pt idx="9">
                  <c:v>7</c:v>
                </c:pt>
                <c:pt idx="10">
                  <c:v>37</c:v>
                </c:pt>
                <c:pt idx="11">
                  <c:v>21</c:v>
                </c:pt>
                <c:pt idx="12">
                  <c:v>27</c:v>
                </c:pt>
                <c:pt idx="13">
                  <c:v>25</c:v>
                </c:pt>
                <c:pt idx="14">
                  <c:v>15</c:v>
                </c:pt>
                <c:pt idx="15">
                  <c:v>34</c:v>
                </c:pt>
                <c:pt idx="16">
                  <c:v>25</c:v>
                </c:pt>
                <c:pt idx="17">
                  <c:v>33</c:v>
                </c:pt>
                <c:pt idx="18">
                  <c:v>47</c:v>
                </c:pt>
                <c:pt idx="19">
                  <c:v>11</c:v>
                </c:pt>
                <c:pt idx="20">
                  <c:v>41</c:v>
                </c:pt>
                <c:pt idx="21">
                  <c:v>27</c:v>
                </c:pt>
                <c:pt idx="22">
                  <c:v>34</c:v>
                </c:pt>
                <c:pt idx="23">
                  <c:v>26</c:v>
                </c:pt>
                <c:pt idx="24">
                  <c:v>13</c:v>
                </c:pt>
                <c:pt idx="25">
                  <c:v>28</c:v>
                </c:pt>
                <c:pt idx="26">
                  <c:v>18</c:v>
                </c:pt>
                <c:pt idx="27">
                  <c:v>11</c:v>
                </c:pt>
                <c:pt idx="28">
                  <c:v>16</c:v>
                </c:pt>
                <c:pt idx="29">
                  <c:v>8</c:v>
                </c:pt>
                <c:pt idx="30">
                  <c:v>25</c:v>
                </c:pt>
              </c:numCache>
            </c:numRef>
          </c:val>
          <c:extLst>
            <c:ext xmlns:c16="http://schemas.microsoft.com/office/drawing/2014/chart" uri="{C3380CC4-5D6E-409C-BE32-E72D297353CC}">
              <c16:uniqueId val="{00000005-7DD4-44C0-B586-A06A43D36CE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5225407"/>
        <c:axId val="75224927"/>
      </c:areaChart>
      <c:catAx>
        <c:axId val="752254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5224927"/>
        <c:crosses val="autoZero"/>
        <c:auto val="1"/>
        <c:lblAlgn val="ctr"/>
        <c:lblOffset val="100"/>
        <c:noMultiLvlLbl val="0"/>
      </c:catAx>
      <c:valAx>
        <c:axId val="75224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225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7461503744576"/>
          <c:y val="0.16690491231791499"/>
          <c:w val="0.77011445557086866"/>
          <c:h val="0.82693451626141845"/>
        </c:manualLayout>
      </c:layout>
      <c:areaChart>
        <c:grouping val="standard"/>
        <c:varyColors val="0"/>
        <c:ser>
          <c:idx val="0"/>
          <c:order val="0"/>
          <c:tx>
            <c:strRef>
              <c:f>'Pivot Report'!$F$11</c:f>
              <c:strCache>
                <c:ptCount val="1"/>
                <c:pt idx="0">
                  <c:v>Total</c:v>
                </c:pt>
              </c:strCache>
            </c:strRef>
          </c:tx>
          <c:spPr>
            <a:solidFill>
              <a:srgbClr val="599F98"/>
            </a:solidFill>
            <a:ln>
              <a:solidFill>
                <a:schemeClr val="accent1">
                  <a:lumMod val="20000"/>
                  <a:lumOff val="80000"/>
                </a:schemeClr>
              </a:solidFill>
            </a:ln>
            <a:effectLst/>
          </c:spPr>
          <c:cat>
            <c:strRef>
              <c:f>'Pivot Report'!$E$12:$E$43</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Report'!$F$12:$F$43</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5-F228-4228-881A-BDDE2AAFA0AF}"/>
            </c:ext>
          </c:extLst>
        </c:ser>
        <c:dLbls>
          <c:showLegendKey val="0"/>
          <c:showVal val="0"/>
          <c:showCatName val="0"/>
          <c:showSerName val="0"/>
          <c:showPercent val="0"/>
          <c:showBubbleSize val="0"/>
        </c:dLbls>
        <c:axId val="1832516960"/>
        <c:axId val="1832515520"/>
      </c:areaChart>
      <c:catAx>
        <c:axId val="1832516960"/>
        <c:scaling>
          <c:orientation val="minMax"/>
        </c:scaling>
        <c:delete val="1"/>
        <c:axPos val="b"/>
        <c:numFmt formatCode="General" sourceLinked="1"/>
        <c:majorTickMark val="out"/>
        <c:minorTickMark val="none"/>
        <c:tickLblPos val="nextTo"/>
        <c:crossAx val="1832515520"/>
        <c:crosses val="autoZero"/>
        <c:auto val="1"/>
        <c:lblAlgn val="ctr"/>
        <c:lblOffset val="100"/>
        <c:noMultiLvlLbl val="0"/>
      </c:catAx>
      <c:valAx>
        <c:axId val="1832515520"/>
        <c:scaling>
          <c:orientation val="minMax"/>
        </c:scaling>
        <c:delete val="1"/>
        <c:axPos val="l"/>
        <c:numFmt formatCode="General" sourceLinked="1"/>
        <c:majorTickMark val="none"/>
        <c:minorTickMark val="none"/>
        <c:tickLblPos val="nextTo"/>
        <c:crossAx val="18325169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Report!PivotTable4</c:name>
    <c:fmtId val="8"/>
  </c:pivotSource>
  <c:chart>
    <c:autoTitleDeleted val="1"/>
    <c:pivotFmts>
      <c:pivotFmt>
        <c:idx val="0"/>
        <c:spPr>
          <a:solidFill>
            <a:srgbClr val="599F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99F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60139673783145E-2"/>
          <c:y val="0.13355014918039212"/>
          <c:w val="0.84647972065243371"/>
          <c:h val="0.73289970163921581"/>
        </c:manualLayout>
      </c:layout>
      <c:areaChart>
        <c:grouping val="standard"/>
        <c:varyColors val="0"/>
        <c:ser>
          <c:idx val="0"/>
          <c:order val="0"/>
          <c:tx>
            <c:strRef>
              <c:f>'Pivot Report'!$J$11</c:f>
              <c:strCache>
                <c:ptCount val="1"/>
                <c:pt idx="0">
                  <c:v>Total</c:v>
                </c:pt>
              </c:strCache>
            </c:strRef>
          </c:tx>
          <c:spPr>
            <a:solidFill>
              <a:srgbClr val="599F98"/>
            </a:solidFill>
            <a:ln w="25400">
              <a:noFill/>
            </a:ln>
            <a:effectLst/>
          </c:spPr>
          <c:cat>
            <c:strRef>
              <c:f>'Pivot Report'!$I$12:$I$43</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Report'!$J$12:$J$43</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5-22B3-4A84-B150-817A00E49184}"/>
            </c:ext>
          </c:extLst>
        </c:ser>
        <c:dLbls>
          <c:showLegendKey val="0"/>
          <c:showVal val="0"/>
          <c:showCatName val="0"/>
          <c:showSerName val="0"/>
          <c:showPercent val="0"/>
          <c:showBubbleSize val="0"/>
        </c:dLbls>
        <c:axId val="1310400623"/>
        <c:axId val="1310415503"/>
      </c:areaChart>
      <c:catAx>
        <c:axId val="1310400623"/>
        <c:scaling>
          <c:orientation val="minMax"/>
        </c:scaling>
        <c:delete val="1"/>
        <c:axPos val="b"/>
        <c:numFmt formatCode="General" sourceLinked="1"/>
        <c:majorTickMark val="out"/>
        <c:minorTickMark val="none"/>
        <c:tickLblPos val="nextTo"/>
        <c:crossAx val="1310415503"/>
        <c:crosses val="autoZero"/>
        <c:auto val="1"/>
        <c:lblAlgn val="ctr"/>
        <c:lblOffset val="100"/>
        <c:noMultiLvlLbl val="0"/>
      </c:catAx>
      <c:valAx>
        <c:axId val="1310415503"/>
        <c:scaling>
          <c:orientation val="minMax"/>
        </c:scaling>
        <c:delete val="1"/>
        <c:axPos val="l"/>
        <c:numFmt formatCode="0.00" sourceLinked="1"/>
        <c:majorTickMark val="none"/>
        <c:minorTickMark val="none"/>
        <c:tickLblPos val="nextTo"/>
        <c:crossAx val="13104006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5716022640376E-2"/>
          <c:y val="0.10571310710678292"/>
          <c:w val="0.82628647944736489"/>
          <c:h val="0.57009975182302286"/>
        </c:manualLayout>
      </c:layout>
      <c:areaChart>
        <c:grouping val="standard"/>
        <c:varyColors val="0"/>
        <c:ser>
          <c:idx val="0"/>
          <c:order val="0"/>
          <c:tx>
            <c:strRef>
              <c:f>'Pivot Report'!$M$11</c:f>
              <c:strCache>
                <c:ptCount val="1"/>
                <c:pt idx="0">
                  <c:v>Total</c:v>
                </c:pt>
              </c:strCache>
            </c:strRef>
          </c:tx>
          <c:spPr>
            <a:solidFill>
              <a:srgbClr val="599F98"/>
            </a:solidFill>
            <a:ln w="25400">
              <a:noFill/>
            </a:ln>
            <a:effectLst/>
          </c:spPr>
          <c:cat>
            <c:strRef>
              <c:f>'Pivot Report'!$L$12:$L$43</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Report'!$M$12:$M$43</c:f>
              <c:numCache>
                <c:formatCode>General</c:formatCode>
                <c:ptCount val="31"/>
                <c:pt idx="0">
                  <c:v>24</c:v>
                </c:pt>
                <c:pt idx="1">
                  <c:v>19</c:v>
                </c:pt>
                <c:pt idx="2">
                  <c:v>5</c:v>
                </c:pt>
                <c:pt idx="3">
                  <c:v>15</c:v>
                </c:pt>
                <c:pt idx="4">
                  <c:v>16</c:v>
                </c:pt>
                <c:pt idx="5">
                  <c:v>28</c:v>
                </c:pt>
                <c:pt idx="6">
                  <c:v>42</c:v>
                </c:pt>
                <c:pt idx="7">
                  <c:v>9</c:v>
                </c:pt>
                <c:pt idx="8">
                  <c:v>20</c:v>
                </c:pt>
                <c:pt idx="9">
                  <c:v>7</c:v>
                </c:pt>
                <c:pt idx="10">
                  <c:v>37</c:v>
                </c:pt>
                <c:pt idx="11">
                  <c:v>21</c:v>
                </c:pt>
                <c:pt idx="12">
                  <c:v>27</c:v>
                </c:pt>
                <c:pt idx="13">
                  <c:v>25</c:v>
                </c:pt>
                <c:pt idx="14">
                  <c:v>15</c:v>
                </c:pt>
                <c:pt idx="15">
                  <c:v>34</c:v>
                </c:pt>
                <c:pt idx="16">
                  <c:v>25</c:v>
                </c:pt>
                <c:pt idx="17">
                  <c:v>33</c:v>
                </c:pt>
                <c:pt idx="18">
                  <c:v>47</c:v>
                </c:pt>
                <c:pt idx="19">
                  <c:v>11</c:v>
                </c:pt>
                <c:pt idx="20">
                  <c:v>41</c:v>
                </c:pt>
                <c:pt idx="21">
                  <c:v>27</c:v>
                </c:pt>
                <c:pt idx="22">
                  <c:v>34</c:v>
                </c:pt>
                <c:pt idx="23">
                  <c:v>26</c:v>
                </c:pt>
                <c:pt idx="24">
                  <c:v>13</c:v>
                </c:pt>
                <c:pt idx="25">
                  <c:v>28</c:v>
                </c:pt>
                <c:pt idx="26">
                  <c:v>18</c:v>
                </c:pt>
                <c:pt idx="27">
                  <c:v>11</c:v>
                </c:pt>
                <c:pt idx="28">
                  <c:v>16</c:v>
                </c:pt>
                <c:pt idx="29">
                  <c:v>8</c:v>
                </c:pt>
                <c:pt idx="30">
                  <c:v>25</c:v>
                </c:pt>
              </c:numCache>
            </c:numRef>
          </c:val>
          <c:extLst>
            <c:ext xmlns:c16="http://schemas.microsoft.com/office/drawing/2014/chart" uri="{C3380CC4-5D6E-409C-BE32-E72D297353CC}">
              <c16:uniqueId val="{00000005-2BC1-4A17-BFA5-291BEAA635D7}"/>
            </c:ext>
          </c:extLst>
        </c:ser>
        <c:dLbls>
          <c:showLegendKey val="0"/>
          <c:showVal val="0"/>
          <c:showCatName val="0"/>
          <c:showSerName val="0"/>
          <c:showPercent val="0"/>
          <c:showBubbleSize val="0"/>
        </c:dLbls>
        <c:axId val="75225407"/>
        <c:axId val="75224927"/>
      </c:areaChart>
      <c:catAx>
        <c:axId val="75225407"/>
        <c:scaling>
          <c:orientation val="minMax"/>
        </c:scaling>
        <c:delete val="1"/>
        <c:axPos val="b"/>
        <c:numFmt formatCode="General" sourceLinked="1"/>
        <c:majorTickMark val="out"/>
        <c:minorTickMark val="none"/>
        <c:tickLblPos val="nextTo"/>
        <c:crossAx val="75224927"/>
        <c:crosses val="autoZero"/>
        <c:auto val="1"/>
        <c:lblAlgn val="ctr"/>
        <c:lblOffset val="100"/>
        <c:noMultiLvlLbl val="0"/>
      </c:catAx>
      <c:valAx>
        <c:axId val="75224927"/>
        <c:scaling>
          <c:orientation val="minMax"/>
        </c:scaling>
        <c:delete val="1"/>
        <c:axPos val="l"/>
        <c:numFmt formatCode="General" sourceLinked="1"/>
        <c:majorTickMark val="none"/>
        <c:minorTickMark val="none"/>
        <c:tickLblPos val="nextTo"/>
        <c:crossAx val="75225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99F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9F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71618358358501E-3"/>
          <c:y val="6.5000296503103724E-2"/>
          <c:w val="0.91567418848478832"/>
          <c:h val="0.77028406559314233"/>
        </c:manualLayout>
      </c:layout>
      <c:barChart>
        <c:barDir val="col"/>
        <c:grouping val="clustered"/>
        <c:varyColors val="0"/>
        <c:ser>
          <c:idx val="0"/>
          <c:order val="0"/>
          <c:tx>
            <c:strRef>
              <c:f>'Pivot Report'!$E$64</c:f>
              <c:strCache>
                <c:ptCount val="1"/>
                <c:pt idx="0">
                  <c:v>Total</c:v>
                </c:pt>
              </c:strCache>
            </c:strRef>
          </c:tx>
          <c:spPr>
            <a:solidFill>
              <a:srgbClr val="599F98"/>
            </a:solidFill>
            <a:ln>
              <a:noFill/>
            </a:ln>
            <a:effectLst/>
          </c:spPr>
          <c:invertIfNegative val="0"/>
          <c:cat>
            <c:strRef>
              <c:f>'Pivot Report'!$D$65:$D$73</c:f>
              <c:strCache>
                <c:ptCount val="8"/>
                <c:pt idx="0">
                  <c:v>0-09</c:v>
                </c:pt>
                <c:pt idx="1">
                  <c:v>10-19</c:v>
                </c:pt>
                <c:pt idx="2">
                  <c:v>20-29</c:v>
                </c:pt>
                <c:pt idx="3">
                  <c:v>30-39</c:v>
                </c:pt>
                <c:pt idx="4">
                  <c:v>40-49</c:v>
                </c:pt>
                <c:pt idx="5">
                  <c:v>50-59</c:v>
                </c:pt>
                <c:pt idx="6">
                  <c:v>60-69</c:v>
                </c:pt>
                <c:pt idx="7">
                  <c:v>70-79</c:v>
                </c:pt>
              </c:strCache>
            </c:strRef>
          </c:cat>
          <c:val>
            <c:numRef>
              <c:f>'Pivot Report'!$E$65:$E$73</c:f>
              <c:numCache>
                <c:formatCode>0</c:formatCode>
                <c:ptCount val="8"/>
                <c:pt idx="0">
                  <c:v>52</c:v>
                </c:pt>
                <c:pt idx="1">
                  <c:v>65</c:v>
                </c:pt>
                <c:pt idx="2">
                  <c:v>64</c:v>
                </c:pt>
                <c:pt idx="3">
                  <c:v>57</c:v>
                </c:pt>
                <c:pt idx="4">
                  <c:v>71</c:v>
                </c:pt>
                <c:pt idx="5">
                  <c:v>59</c:v>
                </c:pt>
                <c:pt idx="6">
                  <c:v>93</c:v>
                </c:pt>
                <c:pt idx="7">
                  <c:v>32</c:v>
                </c:pt>
              </c:numCache>
            </c:numRef>
          </c:val>
          <c:extLst>
            <c:ext xmlns:c16="http://schemas.microsoft.com/office/drawing/2014/chart" uri="{C3380CC4-5D6E-409C-BE32-E72D297353CC}">
              <c16:uniqueId val="{00000005-74FE-4E38-9F9F-1DB0FEE698AE}"/>
            </c:ext>
          </c:extLst>
        </c:ser>
        <c:dLbls>
          <c:showLegendKey val="0"/>
          <c:showVal val="0"/>
          <c:showCatName val="0"/>
          <c:showSerName val="0"/>
          <c:showPercent val="0"/>
          <c:showBubbleSize val="0"/>
        </c:dLbls>
        <c:gapWidth val="219"/>
        <c:overlap val="-27"/>
        <c:axId val="1565880127"/>
        <c:axId val="1565876287"/>
      </c:barChart>
      <c:catAx>
        <c:axId val="15658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76287"/>
        <c:crosses val="autoZero"/>
        <c:auto val="1"/>
        <c:lblAlgn val="ctr"/>
        <c:lblOffset val="100"/>
        <c:noMultiLvlLbl val="0"/>
      </c:catAx>
      <c:valAx>
        <c:axId val="1565876287"/>
        <c:scaling>
          <c:orientation val="minMax"/>
        </c:scaling>
        <c:delete val="1"/>
        <c:axPos val="l"/>
        <c:numFmt formatCode="0" sourceLinked="1"/>
        <c:majorTickMark val="none"/>
        <c:minorTickMark val="none"/>
        <c:tickLblPos val="nextTo"/>
        <c:crossAx val="15658801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Report!PivotTable9</c:name>
    <c:fmtId val="1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599F98"/>
          </a:solidFill>
          <a:ln>
            <a:noFill/>
          </a:ln>
          <a:effectLst/>
          <a:scene3d>
            <a:camera prst="orthographicFront"/>
            <a:lightRig rig="brightRoom" dir="t"/>
          </a:scene3d>
          <a:sp3d prstMaterial="flat">
            <a:contourClr>
              <a:srgbClr val="000000"/>
            </a:contourClr>
          </a:sp3d>
        </c:spPr>
      </c:pivotFmt>
      <c:pivotFmt>
        <c:idx val="7"/>
        <c:spPr>
          <a:solidFill>
            <a:schemeClr val="accent1"/>
          </a:solidFill>
          <a:ln>
            <a:noFill/>
          </a:ln>
          <a:effectLst/>
          <a:scene3d>
            <a:camera prst="orthographicFront"/>
            <a:lightRig rig="brightRoom" dir="t"/>
          </a:scene3d>
          <a:sp3d prstMaterial="flat">
            <a:contourClr>
              <a:srgbClr val="000000"/>
            </a:contourClr>
          </a:sp3d>
        </c:spPr>
      </c:pivotFmt>
    </c:pivotFmts>
    <c:plotArea>
      <c:layout>
        <c:manualLayout>
          <c:layoutTarget val="inner"/>
          <c:xMode val="edge"/>
          <c:yMode val="edge"/>
          <c:x val="0.2947398787306042"/>
          <c:y val="0.25199534310837446"/>
          <c:w val="0.3961164405170588"/>
          <c:h val="0.55384581297705693"/>
        </c:manualLayout>
      </c:layout>
      <c:doughnutChart>
        <c:varyColors val="1"/>
        <c:ser>
          <c:idx val="0"/>
          <c:order val="0"/>
          <c:tx>
            <c:strRef>
              <c:f>'Pivot Report'!$B$68</c:f>
              <c:strCache>
                <c:ptCount val="1"/>
                <c:pt idx="0">
                  <c:v>Total</c:v>
                </c:pt>
              </c:strCache>
            </c:strRef>
          </c:tx>
          <c:spPr>
            <a:effectLst/>
            <a:scene3d>
              <a:camera prst="orthographicFront"/>
              <a:lightRig rig="brightRoom" dir="t"/>
            </a:scene3d>
            <a:sp3d prstMaterial="flat">
              <a:contourClr>
                <a:srgbClr val="000000"/>
              </a:contourClr>
            </a:sp3d>
          </c:spPr>
          <c:dPt>
            <c:idx val="0"/>
            <c:bubble3D val="0"/>
            <c:spPr>
              <a:solidFill>
                <a:srgbClr val="599F98"/>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D990-4D0F-8394-415E21AA5966}"/>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D990-4D0F-8394-415E21AA59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248</c:v>
                </c:pt>
                <c:pt idx="1">
                  <c:v>245</c:v>
                </c:pt>
              </c:numCache>
            </c:numRef>
          </c:val>
          <c:extLst>
            <c:ext xmlns:c16="http://schemas.microsoft.com/office/drawing/2014/chart" uri="{C3380CC4-5D6E-409C-BE32-E72D297353CC}">
              <c16:uniqueId val="{0000000A-759B-4775-8D0E-10FB779AD589}"/>
            </c:ext>
          </c:extLst>
        </c:ser>
        <c:dLbls>
          <c:showLegendKey val="0"/>
          <c:showVal val="0"/>
          <c:showCatName val="0"/>
          <c:showSerName val="0"/>
          <c:showPercent val="1"/>
          <c:showBubbleSize val="0"/>
          <c:showLeaderLines val="1"/>
        </c:dLbls>
        <c:firstSliceAng val="0"/>
        <c:holeSize val="33"/>
      </c:doughnutChart>
      <c:spPr>
        <a:noFill/>
        <a:ln>
          <a:noFill/>
        </a:ln>
        <a:effectLst/>
      </c:spPr>
    </c:plotArea>
    <c:legend>
      <c:legendPos val="r"/>
      <c:layout>
        <c:manualLayout>
          <c:xMode val="edge"/>
          <c:yMode val="edge"/>
          <c:x val="0.19409651055290425"/>
          <c:y val="3.2238701951886169E-2"/>
          <c:w val="0.58102756976175063"/>
          <c:h val="0.21583846709307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9F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76529066677312"/>
          <c:y val="7.3333333333333334E-2"/>
          <c:w val="0.71488230846585532"/>
          <c:h val="0.85333333333333339"/>
        </c:manualLayout>
      </c:layout>
      <c:barChart>
        <c:barDir val="bar"/>
        <c:grouping val="clustered"/>
        <c:varyColors val="0"/>
        <c:ser>
          <c:idx val="0"/>
          <c:order val="0"/>
          <c:tx>
            <c:strRef>
              <c:f>'Pivot Report'!$B$75</c:f>
              <c:strCache>
                <c:ptCount val="1"/>
                <c:pt idx="0">
                  <c:v>Total</c:v>
                </c:pt>
              </c:strCache>
            </c:strRef>
          </c:tx>
          <c:spPr>
            <a:solidFill>
              <a:srgbClr val="599F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Report'!$B$76:$B$84</c:f>
              <c:numCache>
                <c:formatCode>0</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6-0220-4416-AEEE-8B5E38BD4406}"/>
            </c:ext>
          </c:extLst>
        </c:ser>
        <c:dLbls>
          <c:showLegendKey val="0"/>
          <c:showVal val="0"/>
          <c:showCatName val="0"/>
          <c:showSerName val="0"/>
          <c:showPercent val="0"/>
          <c:showBubbleSize val="0"/>
        </c:dLbls>
        <c:gapWidth val="182"/>
        <c:axId val="793079967"/>
        <c:axId val="793080447"/>
      </c:barChart>
      <c:catAx>
        <c:axId val="79307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080447"/>
        <c:crosses val="autoZero"/>
        <c:auto val="1"/>
        <c:lblAlgn val="ctr"/>
        <c:lblOffset val="100"/>
        <c:noMultiLvlLbl val="0"/>
      </c:catAx>
      <c:valAx>
        <c:axId val="793080447"/>
        <c:scaling>
          <c:orientation val="minMax"/>
        </c:scaling>
        <c:delete val="1"/>
        <c:axPos val="b"/>
        <c:numFmt formatCode="0" sourceLinked="1"/>
        <c:majorTickMark val="none"/>
        <c:minorTickMark val="none"/>
        <c:tickLblPos val="nextTo"/>
        <c:crossAx val="79307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[Hospital_HR_excel_dashboard.xlsx]Pivot Report!PivotTable12</c:name>
    <c:fmtId val="2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599F98"/>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926859142607178"/>
          <c:y val="0.25"/>
          <c:w val="0.39444444444444443"/>
          <c:h val="0.65740740740740744"/>
        </c:manualLayout>
      </c:layout>
      <c:pieChart>
        <c:varyColors val="1"/>
        <c:ser>
          <c:idx val="0"/>
          <c:order val="0"/>
          <c:tx>
            <c:strRef>
              <c:f>'Pivot Report'!$F$78</c:f>
              <c:strCache>
                <c:ptCount val="1"/>
                <c:pt idx="0">
                  <c:v>Total</c:v>
                </c:pt>
              </c:strCache>
            </c:strRef>
          </c:tx>
          <c:dPt>
            <c:idx val="0"/>
            <c:bubble3D val="0"/>
            <c:spPr>
              <a:solidFill>
                <a:srgbClr val="599F9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47-439A-A932-0282C951597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47-439A-A932-0282C95159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Report'!$E$79:$E$81</c:f>
              <c:strCache>
                <c:ptCount val="2"/>
                <c:pt idx="0">
                  <c:v>Delay</c:v>
                </c:pt>
                <c:pt idx="1">
                  <c:v>Ontime</c:v>
                </c:pt>
              </c:strCache>
            </c:strRef>
          </c:cat>
          <c:val>
            <c:numRef>
              <c:f>'Pivot Report'!$F$79:$F$81</c:f>
              <c:numCache>
                <c:formatCode>0</c:formatCode>
                <c:ptCount val="2"/>
                <c:pt idx="0">
                  <c:v>281</c:v>
                </c:pt>
                <c:pt idx="1">
                  <c:v>212</c:v>
                </c:pt>
              </c:numCache>
            </c:numRef>
          </c:val>
          <c:extLst>
            <c:ext xmlns:c16="http://schemas.microsoft.com/office/drawing/2014/chart" uri="{C3380CC4-5D6E-409C-BE32-E72D297353CC}">
              <c16:uniqueId val="{00000004-F647-439A-A932-0282C95159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909273840769903"/>
          <c:y val="6.5392971711869349E-2"/>
          <c:w val="0.49535170603674539"/>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4.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8.xml"/><Relationship Id="rId18" Type="http://schemas.openxmlformats.org/officeDocument/2006/relationships/chart" Target="../charts/chart12.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Satisfaction Score Daily'!A1"/><Relationship Id="rId17" Type="http://schemas.openxmlformats.org/officeDocument/2006/relationships/image" Target="../media/image10.emf"/><Relationship Id="rId2" Type="http://schemas.openxmlformats.org/officeDocument/2006/relationships/hyperlink" Target="#'Daily ER No of Patients'!A1"/><Relationship Id="rId16" Type="http://schemas.openxmlformats.org/officeDocument/2006/relationships/chart" Target="../charts/chart11.xml"/><Relationship Id="rId1" Type="http://schemas.openxmlformats.org/officeDocument/2006/relationships/image" Target="../media/image3.png"/><Relationship Id="rId6" Type="http://schemas.openxmlformats.org/officeDocument/2006/relationships/image" Target="../media/image7.svg"/><Relationship Id="rId11" Type="http://schemas.openxmlformats.org/officeDocument/2006/relationships/chart" Target="../charts/chart7.xml"/><Relationship Id="rId5" Type="http://schemas.openxmlformats.org/officeDocument/2006/relationships/image" Target="../media/image6.png"/><Relationship Id="rId15" Type="http://schemas.openxmlformats.org/officeDocument/2006/relationships/chart" Target="../charts/chart10.xml"/><Relationship Id="rId10" Type="http://schemas.openxmlformats.org/officeDocument/2006/relationships/hyperlink" Target="#'Average Waiting Time Daily'!A1"/><Relationship Id="rId4" Type="http://schemas.openxmlformats.org/officeDocument/2006/relationships/image" Target="../media/image5.svg"/><Relationship Id="rId9" Type="http://schemas.openxmlformats.org/officeDocument/2006/relationships/chart" Target="../charts/chart6.xml"/><Relationship Id="rId1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9525</xdr:colOff>
      <xdr:row>52</xdr:row>
      <xdr:rowOff>57150</xdr:rowOff>
    </xdr:from>
    <xdr:to>
      <xdr:col>4</xdr:col>
      <xdr:colOff>1085850</xdr:colOff>
      <xdr:row>55</xdr:row>
      <xdr:rowOff>180975</xdr:rowOff>
    </xdr:to>
    <xdr:graphicFrame macro="">
      <xdr:nvGraphicFramePr>
        <xdr:cNvPr id="2" name="Chart 1">
          <a:extLst>
            <a:ext uri="{FF2B5EF4-FFF2-40B4-BE49-F238E27FC236}">
              <a16:creationId xmlns:a16="http://schemas.microsoft.com/office/drawing/2014/main" id="{F5B6FCCE-6F6D-4F90-17BC-C61D36671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1343025</xdr:colOff>
      <xdr:row>82</xdr:row>
      <xdr:rowOff>171451</xdr:rowOff>
    </xdr:from>
    <xdr:to>
      <xdr:col>3</xdr:col>
      <xdr:colOff>1047750</xdr:colOff>
      <xdr:row>88</xdr:row>
      <xdr:rowOff>1</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D655221D-FC96-5CEC-94C8-1624B922276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228850" y="15792451"/>
              <a:ext cx="17145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809625</xdr:colOff>
      <xdr:row>72</xdr:row>
      <xdr:rowOff>100012</xdr:rowOff>
    </xdr:from>
    <xdr:to>
      <xdr:col>4</xdr:col>
      <xdr:colOff>981075</xdr:colOff>
      <xdr:row>80</xdr:row>
      <xdr:rowOff>57150</xdr:rowOff>
    </xdr:to>
    <xdr:graphicFrame macro="">
      <xdr:nvGraphicFramePr>
        <xdr:cNvPr id="5" name="Chart 4">
          <a:extLst>
            <a:ext uri="{FF2B5EF4-FFF2-40B4-BE49-F238E27FC236}">
              <a16:creationId xmlns:a16="http://schemas.microsoft.com/office/drawing/2014/main" id="{3FF1D7BC-F4E6-A180-3B40-0264A872A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21897</xdr:colOff>
      <xdr:row>22</xdr:row>
      <xdr:rowOff>76637</xdr:rowOff>
    </xdr:to>
    <xdr:graphicFrame macro="">
      <xdr:nvGraphicFramePr>
        <xdr:cNvPr id="2" name="Chart 1">
          <a:extLst>
            <a:ext uri="{FF2B5EF4-FFF2-40B4-BE49-F238E27FC236}">
              <a16:creationId xmlns:a16="http://schemas.microsoft.com/office/drawing/2014/main" id="{847AE793-FF08-48C0-9B23-5B95AF8ED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175172</xdr:colOff>
      <xdr:row>22</xdr:row>
      <xdr:rowOff>131380</xdr:rowOff>
    </xdr:from>
    <xdr:to>
      <xdr:col>13</xdr:col>
      <xdr:colOff>492672</xdr:colOff>
      <xdr:row>24</xdr:row>
      <xdr:rowOff>54741</xdr:rowOff>
    </xdr:to>
    <xdr:sp macro="" textlink="">
      <xdr:nvSpPr>
        <xdr:cNvPr id="3" name="TextBox 2">
          <a:extLst>
            <a:ext uri="{FF2B5EF4-FFF2-40B4-BE49-F238E27FC236}">
              <a16:creationId xmlns:a16="http://schemas.microsoft.com/office/drawing/2014/main" id="{AF3A8E9B-B278-9A23-3A8A-D8FB032F6BBA}"/>
            </a:ext>
          </a:extLst>
        </xdr:cNvPr>
        <xdr:cNvSpPr txBox="1"/>
      </xdr:nvSpPr>
      <xdr:spPr>
        <a:xfrm>
          <a:off x="1401379" y="4226035"/>
          <a:ext cx="7061638" cy="295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Using an area chart to track</a:t>
          </a:r>
          <a:r>
            <a:rPr lang="en-IN" sz="1100" baseline="0"/>
            <a:t> daily changes and highlight days with longer wait times that might need improvements</a:t>
          </a:r>
        </a:p>
        <a:p>
          <a:endParaRPr lang="en-IN" sz="1100"/>
        </a:p>
      </xdr:txBody>
    </xdr:sp>
    <xdr:clientData/>
  </xdr:twoCellAnchor>
  <xdr:twoCellAnchor editAs="oneCell">
    <xdr:from>
      <xdr:col>15</xdr:col>
      <xdr:colOff>60433</xdr:colOff>
      <xdr:row>0</xdr:row>
      <xdr:rowOff>21897</xdr:rowOff>
    </xdr:from>
    <xdr:to>
      <xdr:col>15</xdr:col>
      <xdr:colOff>585951</xdr:colOff>
      <xdr:row>2</xdr:row>
      <xdr:rowOff>175174</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71311A94-5C60-4C3F-5798-6BACA7A179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256985" y="21897"/>
          <a:ext cx="525518" cy="5255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571500</xdr:colOff>
      <xdr:row>20</xdr:row>
      <xdr:rowOff>9524</xdr:rowOff>
    </xdr:to>
    <xdr:graphicFrame macro="">
      <xdr:nvGraphicFramePr>
        <xdr:cNvPr id="2" name="Chart 1">
          <a:extLst>
            <a:ext uri="{FF2B5EF4-FFF2-40B4-BE49-F238E27FC236}">
              <a16:creationId xmlns:a16="http://schemas.microsoft.com/office/drawing/2014/main" id="{6A6FB2DC-91A0-494B-B719-DCA2BDF0A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504826</xdr:colOff>
      <xdr:row>20</xdr:row>
      <xdr:rowOff>57150</xdr:rowOff>
    </xdr:from>
    <xdr:to>
      <xdr:col>9</xdr:col>
      <xdr:colOff>390526</xdr:colOff>
      <xdr:row>21</xdr:row>
      <xdr:rowOff>104775</xdr:rowOff>
    </xdr:to>
    <xdr:sp macro="" textlink="">
      <xdr:nvSpPr>
        <xdr:cNvPr id="3" name="TextBox 2">
          <a:extLst>
            <a:ext uri="{FF2B5EF4-FFF2-40B4-BE49-F238E27FC236}">
              <a16:creationId xmlns:a16="http://schemas.microsoft.com/office/drawing/2014/main" id="{9B8F1D91-DE64-49E6-1191-FDE8E3C000E5}"/>
            </a:ext>
          </a:extLst>
        </xdr:cNvPr>
        <xdr:cNvSpPr txBox="1"/>
      </xdr:nvSpPr>
      <xdr:spPr>
        <a:xfrm>
          <a:off x="504826" y="3867150"/>
          <a:ext cx="53721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baseline="0"/>
            <a:t> Showing a daily with an area sparkline to spot patterns like busy days or seasonal trends.</a:t>
          </a:r>
          <a:endParaRPr lang="en-IN" sz="1100"/>
        </a:p>
      </xdr:txBody>
    </xdr:sp>
    <xdr:clientData/>
  </xdr:twoCellAnchor>
  <xdr:twoCellAnchor editAs="oneCell">
    <xdr:from>
      <xdr:col>10</xdr:col>
      <xdr:colOff>169444</xdr:colOff>
      <xdr:row>0</xdr:row>
      <xdr:rowOff>74696</xdr:rowOff>
    </xdr:from>
    <xdr:to>
      <xdr:col>10</xdr:col>
      <xdr:colOff>540919</xdr:colOff>
      <xdr:row>2</xdr:row>
      <xdr:rowOff>65171</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86B4B11F-AFDB-0C31-28D7-6D56F9FA64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285497" y="74696"/>
          <a:ext cx="371475" cy="371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561975</xdr:colOff>
      <xdr:row>20</xdr:row>
      <xdr:rowOff>47624</xdr:rowOff>
    </xdr:to>
    <xdr:graphicFrame macro="">
      <xdr:nvGraphicFramePr>
        <xdr:cNvPr id="2" name="Chart 1">
          <a:extLst>
            <a:ext uri="{FF2B5EF4-FFF2-40B4-BE49-F238E27FC236}">
              <a16:creationId xmlns:a16="http://schemas.microsoft.com/office/drawing/2014/main" id="{F792436C-70E4-44F5-A383-B1645AFDE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219075</xdr:colOff>
      <xdr:row>20</xdr:row>
      <xdr:rowOff>95250</xdr:rowOff>
    </xdr:from>
    <xdr:to>
      <xdr:col>11</xdr:col>
      <xdr:colOff>323850</xdr:colOff>
      <xdr:row>21</xdr:row>
      <xdr:rowOff>171450</xdr:rowOff>
    </xdr:to>
    <xdr:sp macro="" textlink="">
      <xdr:nvSpPr>
        <xdr:cNvPr id="3" name="TextBox 2">
          <a:extLst>
            <a:ext uri="{FF2B5EF4-FFF2-40B4-BE49-F238E27FC236}">
              <a16:creationId xmlns:a16="http://schemas.microsoft.com/office/drawing/2014/main" id="{2C95A56A-4B75-DE8A-72B1-EFB8A46B43AE}"/>
            </a:ext>
          </a:extLst>
        </xdr:cNvPr>
        <xdr:cNvSpPr txBox="1"/>
      </xdr:nvSpPr>
      <xdr:spPr>
        <a:xfrm>
          <a:off x="828675" y="3905250"/>
          <a:ext cx="62007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baseline="0"/>
            <a:t> </a:t>
          </a:r>
          <a:r>
            <a:rPr lang="en-IN" sz="1100"/>
            <a:t>Using an area chart to show trends, spot drops in satisfaction, and link</a:t>
          </a:r>
          <a:r>
            <a:rPr lang="en-IN" sz="1100" baseline="0"/>
            <a:t> them to busy times or challenges.</a:t>
          </a:r>
          <a:endParaRPr lang="en-IN"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0.95398</cdr:x>
      <cdr:y>0.01482</cdr:y>
    </cdr:from>
    <cdr:to>
      <cdr:x>0.99663</cdr:x>
      <cdr:y>0.10864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FE42C88-2673-F5FA-1B88-95B7C492BFF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096249" y="57151"/>
          <a:ext cx="361950" cy="3619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4</xdr:col>
      <xdr:colOff>464907</xdr:colOff>
      <xdr:row>0</xdr:row>
      <xdr:rowOff>32799</xdr:rowOff>
    </xdr:from>
    <xdr:to>
      <xdr:col>6</xdr:col>
      <xdr:colOff>1060331</xdr:colOff>
      <xdr:row>3</xdr:row>
      <xdr:rowOff>107831</xdr:rowOff>
    </xdr:to>
    <xdr:sp macro="" textlink="">
      <xdr:nvSpPr>
        <xdr:cNvPr id="2" name="Rectangle: Rounded Corners 1">
          <a:extLst>
            <a:ext uri="{FF2B5EF4-FFF2-40B4-BE49-F238E27FC236}">
              <a16:creationId xmlns:a16="http://schemas.microsoft.com/office/drawing/2014/main" id="{85C8BE8E-B122-27AE-C0B3-1790E743AE7D}"/>
            </a:ext>
          </a:extLst>
        </xdr:cNvPr>
        <xdr:cNvSpPr/>
      </xdr:nvSpPr>
      <xdr:spPr>
        <a:xfrm>
          <a:off x="2909058" y="32799"/>
          <a:ext cx="1817499" cy="641140"/>
        </a:xfrm>
        <a:prstGeom prst="roundRect">
          <a:avLst>
            <a:gd name="adj" fmla="val 658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35831</xdr:colOff>
      <xdr:row>0</xdr:row>
      <xdr:rowOff>26958</xdr:rowOff>
    </xdr:from>
    <xdr:to>
      <xdr:col>4</xdr:col>
      <xdr:colOff>357299</xdr:colOff>
      <xdr:row>3</xdr:row>
      <xdr:rowOff>107830</xdr:rowOff>
    </xdr:to>
    <xdr:sp macro="" textlink="">
      <xdr:nvSpPr>
        <xdr:cNvPr id="3" name="Rectangle: Rounded Corners 2">
          <a:extLst>
            <a:ext uri="{FF2B5EF4-FFF2-40B4-BE49-F238E27FC236}">
              <a16:creationId xmlns:a16="http://schemas.microsoft.com/office/drawing/2014/main" id="{1569A6FF-881A-2E5C-27DB-960779AED647}"/>
            </a:ext>
          </a:extLst>
        </xdr:cNvPr>
        <xdr:cNvSpPr/>
      </xdr:nvSpPr>
      <xdr:spPr>
        <a:xfrm>
          <a:off x="35831" y="26958"/>
          <a:ext cx="2765619" cy="646980"/>
        </a:xfrm>
        <a:prstGeom prst="roundRect">
          <a:avLst>
            <a:gd name="adj" fmla="val 439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108904</xdr:colOff>
      <xdr:row>0</xdr:row>
      <xdr:rowOff>71908</xdr:rowOff>
    </xdr:from>
    <xdr:to>
      <xdr:col>10</xdr:col>
      <xdr:colOff>130950</xdr:colOff>
      <xdr:row>10</xdr:row>
      <xdr:rowOff>32108</xdr:rowOff>
    </xdr:to>
    <xdr:sp macro="" textlink="">
      <xdr:nvSpPr>
        <xdr:cNvPr id="4" name="Rectangle: Rounded Corners 3">
          <a:extLst>
            <a:ext uri="{FF2B5EF4-FFF2-40B4-BE49-F238E27FC236}">
              <a16:creationId xmlns:a16="http://schemas.microsoft.com/office/drawing/2014/main" id="{7845B07E-FE36-C43D-6D8B-DC643E92860A}"/>
            </a:ext>
          </a:extLst>
        </xdr:cNvPr>
        <xdr:cNvSpPr/>
      </xdr:nvSpPr>
      <xdr:spPr>
        <a:xfrm>
          <a:off x="4882106" y="71908"/>
          <a:ext cx="1852131" cy="1886604"/>
        </a:xfrm>
        <a:prstGeom prst="roundRect">
          <a:avLst>
            <a:gd name="adj" fmla="val 421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258925</xdr:colOff>
      <xdr:row>0</xdr:row>
      <xdr:rowOff>56725</xdr:rowOff>
    </xdr:from>
    <xdr:to>
      <xdr:col>13</xdr:col>
      <xdr:colOff>143773</xdr:colOff>
      <xdr:row>10</xdr:row>
      <xdr:rowOff>26958</xdr:rowOff>
    </xdr:to>
    <xdr:sp macro="" textlink="">
      <xdr:nvSpPr>
        <xdr:cNvPr id="5" name="Rectangle: Rounded Corners 4">
          <a:extLst>
            <a:ext uri="{FF2B5EF4-FFF2-40B4-BE49-F238E27FC236}">
              <a16:creationId xmlns:a16="http://schemas.microsoft.com/office/drawing/2014/main" id="{7EE1EFE4-C2B8-1F99-980B-213693E2BC8C}"/>
            </a:ext>
          </a:extLst>
        </xdr:cNvPr>
        <xdr:cNvSpPr/>
      </xdr:nvSpPr>
      <xdr:spPr>
        <a:xfrm>
          <a:off x="6369302" y="56725"/>
          <a:ext cx="1717962" cy="1857261"/>
        </a:xfrm>
        <a:prstGeom prst="roundRect">
          <a:avLst>
            <a:gd name="adj" fmla="val 343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35718</xdr:colOff>
      <xdr:row>3</xdr:row>
      <xdr:rowOff>152761</xdr:rowOff>
    </xdr:from>
    <xdr:to>
      <xdr:col>1</xdr:col>
      <xdr:colOff>348683</xdr:colOff>
      <xdr:row>20</xdr:row>
      <xdr:rowOff>9921</xdr:rowOff>
    </xdr:to>
    <xdr:sp macro="" textlink="">
      <xdr:nvSpPr>
        <xdr:cNvPr id="8" name="Rectangle: Rounded Corners 7">
          <a:extLst>
            <a:ext uri="{FF2B5EF4-FFF2-40B4-BE49-F238E27FC236}">
              <a16:creationId xmlns:a16="http://schemas.microsoft.com/office/drawing/2014/main" id="{1A3F610D-56CD-F8EE-035B-C318003CE8DB}"/>
            </a:ext>
          </a:extLst>
        </xdr:cNvPr>
        <xdr:cNvSpPr/>
      </xdr:nvSpPr>
      <xdr:spPr>
        <a:xfrm>
          <a:off x="35718" y="718308"/>
          <a:ext cx="918199" cy="3061926"/>
        </a:xfrm>
        <a:prstGeom prst="roundRect">
          <a:avLst>
            <a:gd name="adj" fmla="val 196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481065</xdr:colOff>
      <xdr:row>3</xdr:row>
      <xdr:rowOff>163059</xdr:rowOff>
    </xdr:from>
    <xdr:to>
      <xdr:col>5</xdr:col>
      <xdr:colOff>294799</xdr:colOff>
      <xdr:row>8</xdr:row>
      <xdr:rowOff>69960</xdr:rowOff>
    </xdr:to>
    <xdr:sp macro="" textlink="">
      <xdr:nvSpPr>
        <xdr:cNvPr id="9" name="Rectangle: Rounded Corners 8">
          <a:extLst>
            <a:ext uri="{FF2B5EF4-FFF2-40B4-BE49-F238E27FC236}">
              <a16:creationId xmlns:a16="http://schemas.microsoft.com/office/drawing/2014/main" id="{6B28A5B7-5C50-F7A1-ACED-81161D9D075D}"/>
            </a:ext>
          </a:extLst>
        </xdr:cNvPr>
        <xdr:cNvSpPr/>
      </xdr:nvSpPr>
      <xdr:spPr>
        <a:xfrm>
          <a:off x="2314178" y="729167"/>
          <a:ext cx="1035810" cy="850416"/>
        </a:xfrm>
        <a:prstGeom prst="roundRect">
          <a:avLst>
            <a:gd name="adj" fmla="val 292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465462</xdr:colOff>
      <xdr:row>3</xdr:row>
      <xdr:rowOff>175528</xdr:rowOff>
    </xdr:from>
    <xdr:to>
      <xdr:col>3</xdr:col>
      <xdr:colOff>233287</xdr:colOff>
      <xdr:row>8</xdr:row>
      <xdr:rowOff>87931</xdr:rowOff>
    </xdr:to>
    <xdr:sp macro="" textlink="">
      <xdr:nvSpPr>
        <xdr:cNvPr id="10" name="Rectangle: Rounded Corners 9">
          <a:extLst>
            <a:ext uri="{FF2B5EF4-FFF2-40B4-BE49-F238E27FC236}">
              <a16:creationId xmlns:a16="http://schemas.microsoft.com/office/drawing/2014/main" id="{0C0A5054-3392-9B48-7E16-89CF90AC804E}"/>
            </a:ext>
          </a:extLst>
        </xdr:cNvPr>
        <xdr:cNvSpPr/>
      </xdr:nvSpPr>
      <xdr:spPr>
        <a:xfrm>
          <a:off x="1076500" y="741636"/>
          <a:ext cx="989900" cy="855918"/>
        </a:xfrm>
        <a:prstGeom prst="roundRect">
          <a:avLst>
            <a:gd name="adj" fmla="val 262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568005</xdr:colOff>
      <xdr:row>4</xdr:row>
      <xdr:rowOff>1314</xdr:rowOff>
    </xdr:from>
    <xdr:to>
      <xdr:col>6</xdr:col>
      <xdr:colOff>1059980</xdr:colOff>
      <xdr:row>8</xdr:row>
      <xdr:rowOff>96917</xdr:rowOff>
    </xdr:to>
    <xdr:sp macro="" textlink="">
      <xdr:nvSpPr>
        <xdr:cNvPr id="11" name="Rectangle: Rounded Corners 10">
          <a:extLst>
            <a:ext uri="{FF2B5EF4-FFF2-40B4-BE49-F238E27FC236}">
              <a16:creationId xmlns:a16="http://schemas.microsoft.com/office/drawing/2014/main" id="{4E372B6C-F356-8EC1-7B72-FF5B967C81F4}"/>
            </a:ext>
          </a:extLst>
        </xdr:cNvPr>
        <xdr:cNvSpPr/>
      </xdr:nvSpPr>
      <xdr:spPr>
        <a:xfrm>
          <a:off x="3623194" y="756125"/>
          <a:ext cx="1103012" cy="850415"/>
        </a:xfrm>
        <a:prstGeom prst="roundRect">
          <a:avLst>
            <a:gd name="adj" fmla="val 186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437310</xdr:colOff>
      <xdr:row>11</xdr:row>
      <xdr:rowOff>183150</xdr:rowOff>
    </xdr:from>
    <xdr:to>
      <xdr:col>6</xdr:col>
      <xdr:colOff>1071031</xdr:colOff>
      <xdr:row>19</xdr:row>
      <xdr:rowOff>174164</xdr:rowOff>
    </xdr:to>
    <xdr:sp macro="" textlink="">
      <xdr:nvSpPr>
        <xdr:cNvPr id="15" name="Rectangle: Rounded Corners 14">
          <a:extLst>
            <a:ext uri="{FF2B5EF4-FFF2-40B4-BE49-F238E27FC236}">
              <a16:creationId xmlns:a16="http://schemas.microsoft.com/office/drawing/2014/main" id="{C2D5D4CE-E361-0564-1E8F-CDE99843F826}"/>
            </a:ext>
          </a:extLst>
        </xdr:cNvPr>
        <xdr:cNvSpPr/>
      </xdr:nvSpPr>
      <xdr:spPr>
        <a:xfrm>
          <a:off x="1047338" y="2302195"/>
          <a:ext cx="3683862" cy="1532138"/>
        </a:xfrm>
        <a:prstGeom prst="roundRect">
          <a:avLst>
            <a:gd name="adj" fmla="val 1654"/>
          </a:avLst>
        </a:prstGeom>
        <a:solidFill>
          <a:schemeClr val="bg1">
            <a:lumMod val="95000"/>
          </a:schemeClr>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80872</xdr:colOff>
      <xdr:row>10</xdr:row>
      <xdr:rowOff>116817</xdr:rowOff>
    </xdr:from>
    <xdr:to>
      <xdr:col>13</xdr:col>
      <xdr:colOff>148828</xdr:colOff>
      <xdr:row>19</xdr:row>
      <xdr:rowOff>178594</xdr:rowOff>
    </xdr:to>
    <xdr:sp macro="" textlink="">
      <xdr:nvSpPr>
        <xdr:cNvPr id="16" name="Rectangle: Rounded Corners 15">
          <a:extLst>
            <a:ext uri="{FF2B5EF4-FFF2-40B4-BE49-F238E27FC236}">
              <a16:creationId xmlns:a16="http://schemas.microsoft.com/office/drawing/2014/main" id="{A06EA788-E95D-33CD-59F1-D4A13D9B664D}"/>
            </a:ext>
          </a:extLst>
        </xdr:cNvPr>
        <xdr:cNvSpPr/>
      </xdr:nvSpPr>
      <xdr:spPr>
        <a:xfrm>
          <a:off x="4823528" y="2001973"/>
          <a:ext cx="3699363" cy="1758418"/>
        </a:xfrm>
        <a:prstGeom prst="roundRect">
          <a:avLst>
            <a:gd name="adj" fmla="val 403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482091</xdr:colOff>
      <xdr:row>0</xdr:row>
      <xdr:rowOff>134563</xdr:rowOff>
    </xdr:from>
    <xdr:to>
      <xdr:col>4</xdr:col>
      <xdr:colOff>309450</xdr:colOff>
      <xdr:row>1</xdr:row>
      <xdr:rowOff>100640</xdr:rowOff>
    </xdr:to>
    <xdr:sp macro="" textlink="">
      <xdr:nvSpPr>
        <xdr:cNvPr id="6" name="TextBox 5">
          <a:extLst>
            <a:ext uri="{FF2B5EF4-FFF2-40B4-BE49-F238E27FC236}">
              <a16:creationId xmlns:a16="http://schemas.microsoft.com/office/drawing/2014/main" id="{F1ABC9E4-32D3-28B6-D773-3FD5BA6F4C7B}"/>
            </a:ext>
          </a:extLst>
        </xdr:cNvPr>
        <xdr:cNvSpPr txBox="1"/>
      </xdr:nvSpPr>
      <xdr:spPr>
        <a:xfrm>
          <a:off x="482091" y="134563"/>
          <a:ext cx="2271510"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Emergency Room Dashboard</a:t>
          </a:r>
        </a:p>
      </xdr:txBody>
    </xdr:sp>
    <xdr:clientData/>
  </xdr:twoCellAnchor>
  <xdr:twoCellAnchor editAs="oneCell">
    <xdr:from>
      <xdr:col>0</xdr:col>
      <xdr:colOff>98170</xdr:colOff>
      <xdr:row>1</xdr:row>
      <xdr:rowOff>38302</xdr:rowOff>
    </xdr:from>
    <xdr:to>
      <xdr:col>0</xdr:col>
      <xdr:colOff>455360</xdr:colOff>
      <xdr:row>2</xdr:row>
      <xdr:rowOff>109740</xdr:rowOff>
    </xdr:to>
    <xdr:pic>
      <xdr:nvPicPr>
        <xdr:cNvPr id="12" name="Picture 11">
          <a:extLst>
            <a:ext uri="{FF2B5EF4-FFF2-40B4-BE49-F238E27FC236}">
              <a16:creationId xmlns:a16="http://schemas.microsoft.com/office/drawing/2014/main" id="{8856B77B-B43C-8255-952C-E0954B6312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832" b="16594"/>
        <a:stretch/>
      </xdr:blipFill>
      <xdr:spPr>
        <a:xfrm>
          <a:off x="98170" y="227005"/>
          <a:ext cx="357190" cy="260141"/>
        </a:xfrm>
        <a:prstGeom prst="rect">
          <a:avLst/>
        </a:prstGeom>
      </xdr:spPr>
    </xdr:pic>
    <xdr:clientData/>
  </xdr:twoCellAnchor>
  <xdr:twoCellAnchor>
    <xdr:from>
      <xdr:col>1</xdr:col>
      <xdr:colOff>312146</xdr:colOff>
      <xdr:row>1</xdr:row>
      <xdr:rowOff>179134</xdr:rowOff>
    </xdr:from>
    <xdr:to>
      <xdr:col>3</xdr:col>
      <xdr:colOff>41875</xdr:colOff>
      <xdr:row>2</xdr:row>
      <xdr:rowOff>163655</xdr:rowOff>
    </xdr:to>
    <xdr:sp macro="" textlink="">
      <xdr:nvSpPr>
        <xdr:cNvPr id="7" name="TextBox 6">
          <a:extLst>
            <a:ext uri="{FF2B5EF4-FFF2-40B4-BE49-F238E27FC236}">
              <a16:creationId xmlns:a16="http://schemas.microsoft.com/office/drawing/2014/main" id="{17AA7E13-4BD2-3FF6-8EDF-7702FCD322D1}"/>
            </a:ext>
          </a:extLst>
        </xdr:cNvPr>
        <xdr:cNvSpPr txBox="1"/>
      </xdr:nvSpPr>
      <xdr:spPr>
        <a:xfrm>
          <a:off x="923184" y="367837"/>
          <a:ext cx="951804" cy="173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1100" baseline="0"/>
            <a:t> </a:t>
          </a:r>
          <a:r>
            <a:rPr lang="en-IN" sz="900" baseline="0"/>
            <a:t>Report</a:t>
          </a:r>
          <a:endParaRPr lang="en-IN" sz="900"/>
        </a:p>
      </xdr:txBody>
    </xdr:sp>
    <xdr:clientData/>
  </xdr:twoCellAnchor>
  <xdr:twoCellAnchor>
    <xdr:from>
      <xdr:col>1</xdr:col>
      <xdr:colOff>485053</xdr:colOff>
      <xdr:row>5</xdr:row>
      <xdr:rowOff>41116</xdr:rowOff>
    </xdr:from>
    <xdr:to>
      <xdr:col>3</xdr:col>
      <xdr:colOff>202873</xdr:colOff>
      <xdr:row>6</xdr:row>
      <xdr:rowOff>32781</xdr:rowOff>
    </xdr:to>
    <xdr:sp macro="" textlink="">
      <xdr:nvSpPr>
        <xdr:cNvPr id="17" name="TextBox 16">
          <a:hlinkClick xmlns:r="http://schemas.openxmlformats.org/officeDocument/2006/relationships" r:id="rId2"/>
          <a:extLst>
            <a:ext uri="{FF2B5EF4-FFF2-40B4-BE49-F238E27FC236}">
              <a16:creationId xmlns:a16="http://schemas.microsoft.com/office/drawing/2014/main" id="{2C4B245B-B1B6-FD84-F974-EF50CF53E38A}"/>
            </a:ext>
          </a:extLst>
        </xdr:cNvPr>
        <xdr:cNvSpPr txBox="1"/>
      </xdr:nvSpPr>
      <xdr:spPr>
        <a:xfrm>
          <a:off x="1096091" y="984630"/>
          <a:ext cx="939895" cy="180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Patients</a:t>
          </a:r>
          <a:endParaRPr lang="en-IN" sz="900"/>
        </a:p>
      </xdr:txBody>
    </xdr:sp>
    <xdr:clientData/>
  </xdr:twoCellAnchor>
  <xdr:twoCellAnchor>
    <xdr:from>
      <xdr:col>1</xdr:col>
      <xdr:colOff>502005</xdr:colOff>
      <xdr:row>4</xdr:row>
      <xdr:rowOff>41556</xdr:rowOff>
    </xdr:from>
    <xdr:to>
      <xdr:col>3</xdr:col>
      <xdr:colOff>229632</xdr:colOff>
      <xdr:row>5</xdr:row>
      <xdr:rowOff>24472</xdr:rowOff>
    </xdr:to>
    <xdr:sp macro="" textlink="'Pivot Report'!A5">
      <xdr:nvSpPr>
        <xdr:cNvPr id="19" name="TextBox 18">
          <a:extLst>
            <a:ext uri="{FF2B5EF4-FFF2-40B4-BE49-F238E27FC236}">
              <a16:creationId xmlns:a16="http://schemas.microsoft.com/office/drawing/2014/main" id="{6C558BFB-0D1E-F39C-226F-09C4A0F151E6}"/>
            </a:ext>
          </a:extLst>
        </xdr:cNvPr>
        <xdr:cNvSpPr txBox="1"/>
      </xdr:nvSpPr>
      <xdr:spPr>
        <a:xfrm>
          <a:off x="1113043" y="796367"/>
          <a:ext cx="949702" cy="171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1AC411F-83E5-499B-8441-AB3663D39234}" type="TxLink">
            <a:rPr lang="en-US" sz="1100" b="0" i="0" u="none" strike="noStrike">
              <a:solidFill>
                <a:srgbClr val="000000"/>
              </a:solidFill>
              <a:latin typeface="Calibri"/>
              <a:ea typeface="Calibri"/>
              <a:cs typeface="Calibri"/>
            </a:rPr>
            <a:pPr algn="ctr"/>
            <a:t>493</a:t>
          </a:fld>
          <a:endParaRPr lang="en-IN" sz="900"/>
        </a:p>
      </xdr:txBody>
    </xdr:sp>
    <xdr:clientData/>
  </xdr:twoCellAnchor>
  <xdr:twoCellAnchor>
    <xdr:from>
      <xdr:col>3</xdr:col>
      <xdr:colOff>468478</xdr:colOff>
      <xdr:row>5</xdr:row>
      <xdr:rowOff>18694</xdr:rowOff>
    </xdr:from>
    <xdr:to>
      <xdr:col>5</xdr:col>
      <xdr:colOff>276261</xdr:colOff>
      <xdr:row>5</xdr:row>
      <xdr:rowOff>149866</xdr:rowOff>
    </xdr:to>
    <xdr:sp macro="" textlink="">
      <xdr:nvSpPr>
        <xdr:cNvPr id="20" name="TextBox 19">
          <a:extLst>
            <a:ext uri="{FF2B5EF4-FFF2-40B4-BE49-F238E27FC236}">
              <a16:creationId xmlns:a16="http://schemas.microsoft.com/office/drawing/2014/main" id="{640868BA-18A4-E4E3-AE5D-A06C37DF4C7C}"/>
            </a:ext>
          </a:extLst>
        </xdr:cNvPr>
        <xdr:cNvSpPr txBox="1"/>
      </xdr:nvSpPr>
      <xdr:spPr>
        <a:xfrm>
          <a:off x="2301591" y="962208"/>
          <a:ext cx="1029859" cy="131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Average</a:t>
          </a:r>
          <a:r>
            <a:rPr lang="en-IN" sz="900" baseline="0"/>
            <a:t> Wait Time</a:t>
          </a:r>
          <a:endParaRPr lang="en-IN" sz="900"/>
        </a:p>
      </xdr:txBody>
    </xdr:sp>
    <xdr:clientData/>
  </xdr:twoCellAnchor>
  <xdr:twoCellAnchor>
    <xdr:from>
      <xdr:col>3</xdr:col>
      <xdr:colOff>543998</xdr:colOff>
      <xdr:row>4</xdr:row>
      <xdr:rowOff>13957</xdr:rowOff>
    </xdr:from>
    <xdr:to>
      <xdr:col>5</xdr:col>
      <xdr:colOff>272009</xdr:colOff>
      <xdr:row>4</xdr:row>
      <xdr:rowOff>187179</xdr:rowOff>
    </xdr:to>
    <xdr:sp macro="" textlink="'Pivot Report'!A9">
      <xdr:nvSpPr>
        <xdr:cNvPr id="21" name="TextBox 20">
          <a:extLst>
            <a:ext uri="{FF2B5EF4-FFF2-40B4-BE49-F238E27FC236}">
              <a16:creationId xmlns:a16="http://schemas.microsoft.com/office/drawing/2014/main" id="{F206BBDF-F74C-3AF7-F479-33AA1CF73B38}"/>
            </a:ext>
          </a:extLst>
        </xdr:cNvPr>
        <xdr:cNvSpPr txBox="1"/>
      </xdr:nvSpPr>
      <xdr:spPr>
        <a:xfrm>
          <a:off x="2377111" y="768768"/>
          <a:ext cx="950087" cy="17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41F5372-06BC-49AF-BC1D-8271490DC9BD}" type="TxLink">
            <a:rPr lang="en-US" sz="1100" b="0" i="0" u="none" strike="noStrike">
              <a:solidFill>
                <a:srgbClr val="000000"/>
              </a:solidFill>
              <a:latin typeface="Calibri"/>
              <a:ea typeface="Calibri"/>
              <a:cs typeface="Calibri"/>
            </a:rPr>
            <a:pPr algn="ctr"/>
            <a:t>34.93</a:t>
          </a:fld>
          <a:endParaRPr lang="en-IN" sz="900"/>
        </a:p>
      </xdr:txBody>
    </xdr:sp>
    <xdr:clientData/>
  </xdr:twoCellAnchor>
  <xdr:twoCellAnchor>
    <xdr:from>
      <xdr:col>5</xdr:col>
      <xdr:colOff>515474</xdr:colOff>
      <xdr:row>5</xdr:row>
      <xdr:rowOff>46806</xdr:rowOff>
    </xdr:from>
    <xdr:to>
      <xdr:col>7</xdr:col>
      <xdr:colOff>2740</xdr:colOff>
      <xdr:row>5</xdr:row>
      <xdr:rowOff>182327</xdr:rowOff>
    </xdr:to>
    <xdr:sp macro="" textlink="">
      <xdr:nvSpPr>
        <xdr:cNvPr id="22" name="TextBox 21">
          <a:extLst>
            <a:ext uri="{FF2B5EF4-FFF2-40B4-BE49-F238E27FC236}">
              <a16:creationId xmlns:a16="http://schemas.microsoft.com/office/drawing/2014/main" id="{A126AFDB-8E7C-BDAA-A547-29592FCFCD38}"/>
            </a:ext>
          </a:extLst>
        </xdr:cNvPr>
        <xdr:cNvSpPr txBox="1"/>
      </xdr:nvSpPr>
      <xdr:spPr>
        <a:xfrm>
          <a:off x="3570663" y="990320"/>
          <a:ext cx="1212549" cy="135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Satisfaction Score</a:t>
          </a:r>
          <a:endParaRPr lang="en-IN" sz="800"/>
        </a:p>
      </xdr:txBody>
    </xdr:sp>
    <xdr:clientData/>
  </xdr:twoCellAnchor>
  <xdr:twoCellAnchor>
    <xdr:from>
      <xdr:col>6</xdr:col>
      <xdr:colOff>48983</xdr:colOff>
      <xdr:row>4</xdr:row>
      <xdr:rowOff>50512</xdr:rowOff>
    </xdr:from>
    <xdr:to>
      <xdr:col>6</xdr:col>
      <xdr:colOff>999068</xdr:colOff>
      <xdr:row>5</xdr:row>
      <xdr:rowOff>35429</xdr:rowOff>
    </xdr:to>
    <xdr:sp macro="" textlink="'Pivot Report'!A14">
      <xdr:nvSpPr>
        <xdr:cNvPr id="23" name="TextBox 22">
          <a:extLst>
            <a:ext uri="{FF2B5EF4-FFF2-40B4-BE49-F238E27FC236}">
              <a16:creationId xmlns:a16="http://schemas.microsoft.com/office/drawing/2014/main" id="{8F226765-8B40-8287-46A3-F5259321D4DA}"/>
            </a:ext>
          </a:extLst>
        </xdr:cNvPr>
        <xdr:cNvSpPr txBox="1"/>
      </xdr:nvSpPr>
      <xdr:spPr>
        <a:xfrm>
          <a:off x="3715209" y="805323"/>
          <a:ext cx="950085" cy="173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B2ED230-F8FE-4CA6-B1DC-A7F247DC9678}" type="TxLink">
            <a:rPr lang="en-US" sz="1100" b="0" i="0" u="none" strike="noStrike">
              <a:solidFill>
                <a:srgbClr val="000000"/>
              </a:solidFill>
              <a:latin typeface="Calibri"/>
              <a:ea typeface="Calibri"/>
              <a:cs typeface="Calibri"/>
            </a:rPr>
            <a:pPr algn="ctr"/>
            <a:t>4.74</a:t>
          </a:fld>
          <a:endParaRPr lang="en-IN" sz="900"/>
        </a:p>
      </xdr:txBody>
    </xdr:sp>
    <xdr:clientData/>
  </xdr:twoCellAnchor>
  <xdr:twoCellAnchor editAs="oneCell">
    <xdr:from>
      <xdr:col>1</xdr:col>
      <xdr:colOff>494677</xdr:colOff>
      <xdr:row>4</xdr:row>
      <xdr:rowOff>26187</xdr:rowOff>
    </xdr:from>
    <xdr:to>
      <xdr:col>2</xdr:col>
      <xdr:colOff>69902</xdr:colOff>
      <xdr:row>5</xdr:row>
      <xdr:rowOff>20231</xdr:rowOff>
    </xdr:to>
    <xdr:pic>
      <xdr:nvPicPr>
        <xdr:cNvPr id="25" name="Graphic 24" descr="User with solid fill">
          <a:extLst>
            <a:ext uri="{FF2B5EF4-FFF2-40B4-BE49-F238E27FC236}">
              <a16:creationId xmlns:a16="http://schemas.microsoft.com/office/drawing/2014/main" id="{CECE6F93-89A1-9A33-8E8B-320885A089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5715" y="780998"/>
          <a:ext cx="186262" cy="182747"/>
        </a:xfrm>
        <a:prstGeom prst="rect">
          <a:avLst/>
        </a:prstGeom>
      </xdr:spPr>
    </xdr:pic>
    <xdr:clientData/>
  </xdr:twoCellAnchor>
  <xdr:twoCellAnchor editAs="oneCell">
    <xdr:from>
      <xdr:col>6</xdr:col>
      <xdr:colOff>5966</xdr:colOff>
      <xdr:row>4</xdr:row>
      <xdr:rowOff>69013</xdr:rowOff>
    </xdr:from>
    <xdr:to>
      <xdr:col>6</xdr:col>
      <xdr:colOff>189234</xdr:colOff>
      <xdr:row>5</xdr:row>
      <xdr:rowOff>63059</xdr:rowOff>
    </xdr:to>
    <xdr:pic>
      <xdr:nvPicPr>
        <xdr:cNvPr id="27" name="Graphic 26" descr="Rating with solid fill">
          <a:extLst>
            <a:ext uri="{FF2B5EF4-FFF2-40B4-BE49-F238E27FC236}">
              <a16:creationId xmlns:a16="http://schemas.microsoft.com/office/drawing/2014/main" id="{DBB38964-09CA-353B-795C-F259403685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672192" y="823824"/>
          <a:ext cx="183268" cy="182749"/>
        </a:xfrm>
        <a:prstGeom prst="rect">
          <a:avLst/>
        </a:prstGeom>
      </xdr:spPr>
    </xdr:pic>
    <xdr:clientData/>
  </xdr:twoCellAnchor>
  <xdr:twoCellAnchor editAs="oneCell">
    <xdr:from>
      <xdr:col>3</xdr:col>
      <xdr:colOff>519631</xdr:colOff>
      <xdr:row>4</xdr:row>
      <xdr:rowOff>37695</xdr:rowOff>
    </xdr:from>
    <xdr:to>
      <xdr:col>4</xdr:col>
      <xdr:colOff>59524</xdr:colOff>
      <xdr:row>4</xdr:row>
      <xdr:rowOff>186726</xdr:rowOff>
    </xdr:to>
    <xdr:pic>
      <xdr:nvPicPr>
        <xdr:cNvPr id="29" name="Graphic 28" descr="Hourglass 30% with solid fill">
          <a:extLst>
            <a:ext uri="{FF2B5EF4-FFF2-40B4-BE49-F238E27FC236}">
              <a16:creationId xmlns:a16="http://schemas.microsoft.com/office/drawing/2014/main" id="{BED3D693-2E0B-C2E3-0A78-AB1DFAE1886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352744" y="792506"/>
          <a:ext cx="150931" cy="149031"/>
        </a:xfrm>
        <a:prstGeom prst="rect">
          <a:avLst/>
        </a:prstGeom>
      </xdr:spPr>
    </xdr:pic>
    <xdr:clientData/>
  </xdr:twoCellAnchor>
  <xdr:twoCellAnchor editAs="oneCell">
    <xdr:from>
      <xdr:col>0</xdr:col>
      <xdr:colOff>118580</xdr:colOff>
      <xdr:row>4</xdr:row>
      <xdr:rowOff>107832</xdr:rowOff>
    </xdr:from>
    <xdr:to>
      <xdr:col>1</xdr:col>
      <xdr:colOff>288170</xdr:colOff>
      <xdr:row>19</xdr:row>
      <xdr:rowOff>17972</xdr:rowOff>
    </xdr:to>
    <mc:AlternateContent xmlns:mc="http://schemas.openxmlformats.org/markup-compatibility/2006" xmlns:a14="http://schemas.microsoft.com/office/drawing/2010/main">
      <mc:Choice Requires="a14">
        <xdr:graphicFrame macro="">
          <xdr:nvGraphicFramePr>
            <xdr:cNvPr id="31" name="Date (Month) 1">
              <a:extLst>
                <a:ext uri="{FF2B5EF4-FFF2-40B4-BE49-F238E27FC236}">
                  <a16:creationId xmlns:a16="http://schemas.microsoft.com/office/drawing/2014/main" id="{66F875E2-08B9-4B65-8AE9-E0A68BF8432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8580" y="862643"/>
              <a:ext cx="780628" cy="2740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337933</xdr:colOff>
      <xdr:row>6</xdr:row>
      <xdr:rowOff>3209</xdr:rowOff>
    </xdr:from>
    <xdr:to>
      <xdr:col>3</xdr:col>
      <xdr:colOff>269896</xdr:colOff>
      <xdr:row>8</xdr:row>
      <xdr:rowOff>62739</xdr:rowOff>
    </xdr:to>
    <xdr:graphicFrame macro="">
      <xdr:nvGraphicFramePr>
        <xdr:cNvPr id="24" name="Chart 23">
          <a:hlinkClick xmlns:r="http://schemas.openxmlformats.org/officeDocument/2006/relationships" r:id="rId2"/>
          <a:extLst>
            <a:ext uri="{FF2B5EF4-FFF2-40B4-BE49-F238E27FC236}">
              <a16:creationId xmlns:a16="http://schemas.microsoft.com/office/drawing/2014/main" id="{61CF6A83-173D-4D1D-8BD9-642FB2CA3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435012</xdr:colOff>
      <xdr:row>6</xdr:row>
      <xdr:rowOff>62740</xdr:rowOff>
    </xdr:from>
    <xdr:to>
      <xdr:col>5</xdr:col>
      <xdr:colOff>341463</xdr:colOff>
      <xdr:row>8</xdr:row>
      <xdr:rowOff>98364</xdr:rowOff>
    </xdr:to>
    <xdr:graphicFrame macro="">
      <xdr:nvGraphicFramePr>
        <xdr:cNvPr id="26" name="Chart 25">
          <a:hlinkClick xmlns:r="http://schemas.openxmlformats.org/officeDocument/2006/relationships" r:id="rId10"/>
          <a:extLst>
            <a:ext uri="{FF2B5EF4-FFF2-40B4-BE49-F238E27FC236}">
              <a16:creationId xmlns:a16="http://schemas.microsoft.com/office/drawing/2014/main" id="{C9B70F53-9B21-4B9E-829B-672AC4769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518774</xdr:colOff>
      <xdr:row>6</xdr:row>
      <xdr:rowOff>53754</xdr:rowOff>
    </xdr:from>
    <xdr:to>
      <xdr:col>7</xdr:col>
      <xdr:colOff>22029</xdr:colOff>
      <xdr:row>9</xdr:row>
      <xdr:rowOff>11232</xdr:rowOff>
    </xdr:to>
    <xdr:graphicFrame macro="">
      <xdr:nvGraphicFramePr>
        <xdr:cNvPr id="28" name="Chart 27">
          <a:hlinkClick xmlns:r="http://schemas.openxmlformats.org/officeDocument/2006/relationships" r:id="rId12"/>
          <a:extLst>
            <a:ext uri="{FF2B5EF4-FFF2-40B4-BE49-F238E27FC236}">
              <a16:creationId xmlns:a16="http://schemas.microsoft.com/office/drawing/2014/main" id="{66344679-8DF6-43D3-A880-21A6325A8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137038</xdr:colOff>
      <xdr:row>10</xdr:row>
      <xdr:rowOff>158857</xdr:rowOff>
    </xdr:from>
    <xdr:to>
      <xdr:col>6</xdr:col>
      <xdr:colOff>467427</xdr:colOff>
      <xdr:row>18</xdr:row>
      <xdr:rowOff>116335</xdr:rowOff>
    </xdr:to>
    <xdr:graphicFrame macro="">
      <xdr:nvGraphicFramePr>
        <xdr:cNvPr id="35" name="Chart 34">
          <a:extLst>
            <a:ext uri="{FF2B5EF4-FFF2-40B4-BE49-F238E27FC236}">
              <a16:creationId xmlns:a16="http://schemas.microsoft.com/office/drawing/2014/main" id="{3734D00F-8E22-4532-A44B-31A4B873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35943</xdr:colOff>
      <xdr:row>18</xdr:row>
      <xdr:rowOff>89859</xdr:rowOff>
    </xdr:from>
    <xdr:to>
      <xdr:col>5</xdr:col>
      <xdr:colOff>404362</xdr:colOff>
      <xdr:row>19</xdr:row>
      <xdr:rowOff>152760</xdr:rowOff>
    </xdr:to>
    <xdr:sp macro="" textlink="">
      <xdr:nvSpPr>
        <xdr:cNvPr id="36" name="TextBox 35">
          <a:extLst>
            <a:ext uri="{FF2B5EF4-FFF2-40B4-BE49-F238E27FC236}">
              <a16:creationId xmlns:a16="http://schemas.microsoft.com/office/drawing/2014/main" id="{79269232-4E3F-D0BB-0B6A-7980C6C1666C}"/>
            </a:ext>
          </a:extLst>
        </xdr:cNvPr>
        <xdr:cNvSpPr txBox="1"/>
      </xdr:nvSpPr>
      <xdr:spPr>
        <a:xfrm>
          <a:off x="1869056" y="3486510"/>
          <a:ext cx="1590495" cy="25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Age-wise</a:t>
          </a:r>
          <a:r>
            <a:rPr lang="en-IN" sz="1100" baseline="0"/>
            <a:t> Group Analysis</a:t>
          </a:r>
          <a:endParaRPr lang="en-IN" sz="1100"/>
        </a:p>
      </xdr:txBody>
    </xdr:sp>
    <xdr:clientData/>
  </xdr:twoCellAnchor>
  <xdr:twoCellAnchor>
    <xdr:from>
      <xdr:col>7</xdr:col>
      <xdr:colOff>314506</xdr:colOff>
      <xdr:row>8</xdr:row>
      <xdr:rowOff>98844</xdr:rowOff>
    </xdr:from>
    <xdr:to>
      <xdr:col>10</xdr:col>
      <xdr:colOff>35945</xdr:colOff>
      <xdr:row>9</xdr:row>
      <xdr:rowOff>143774</xdr:rowOff>
    </xdr:to>
    <xdr:sp macro="" textlink="">
      <xdr:nvSpPr>
        <xdr:cNvPr id="38" name="TextBox 37">
          <a:extLst>
            <a:ext uri="{FF2B5EF4-FFF2-40B4-BE49-F238E27FC236}">
              <a16:creationId xmlns:a16="http://schemas.microsoft.com/office/drawing/2014/main" id="{45E8EB72-DDC0-4AD1-12CA-87D62ABD5EB4}"/>
            </a:ext>
          </a:extLst>
        </xdr:cNvPr>
        <xdr:cNvSpPr txBox="1"/>
      </xdr:nvSpPr>
      <xdr:spPr>
        <a:xfrm>
          <a:off x="4591770" y="1608467"/>
          <a:ext cx="1554552" cy="23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 Attended</a:t>
          </a:r>
          <a:r>
            <a:rPr lang="en-IN" sz="1100" baseline="0"/>
            <a:t> Status</a:t>
          </a:r>
        </a:p>
        <a:p>
          <a:endParaRPr lang="en-IN" sz="1100"/>
        </a:p>
      </xdr:txBody>
    </xdr:sp>
    <xdr:clientData/>
  </xdr:twoCellAnchor>
  <xdr:twoCellAnchor>
    <xdr:from>
      <xdr:col>9</xdr:col>
      <xdr:colOff>404363</xdr:colOff>
      <xdr:row>0</xdr:row>
      <xdr:rowOff>0</xdr:rowOff>
    </xdr:from>
    <xdr:to>
      <xdr:col>14</xdr:col>
      <xdr:colOff>125803</xdr:colOff>
      <xdr:row>10</xdr:row>
      <xdr:rowOff>98846</xdr:rowOff>
    </xdr:to>
    <xdr:graphicFrame macro="">
      <xdr:nvGraphicFramePr>
        <xdr:cNvPr id="13" name="Chart 12">
          <a:extLst>
            <a:ext uri="{FF2B5EF4-FFF2-40B4-BE49-F238E27FC236}">
              <a16:creationId xmlns:a16="http://schemas.microsoft.com/office/drawing/2014/main" id="{34FD046C-9A19-4646-AD7F-390E9E303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467265</xdr:colOff>
      <xdr:row>8</xdr:row>
      <xdr:rowOff>125802</xdr:rowOff>
    </xdr:from>
    <xdr:to>
      <xdr:col>13</xdr:col>
      <xdr:colOff>89858</xdr:colOff>
      <xdr:row>10</xdr:row>
      <xdr:rowOff>1</xdr:rowOff>
    </xdr:to>
    <xdr:sp macro="" textlink="">
      <xdr:nvSpPr>
        <xdr:cNvPr id="14" name="TextBox 13">
          <a:extLst>
            <a:ext uri="{FF2B5EF4-FFF2-40B4-BE49-F238E27FC236}">
              <a16:creationId xmlns:a16="http://schemas.microsoft.com/office/drawing/2014/main" id="{F3633322-9C2C-4C50-2EFC-938A58843DE9}"/>
            </a:ext>
          </a:extLst>
        </xdr:cNvPr>
        <xdr:cNvSpPr txBox="1"/>
      </xdr:nvSpPr>
      <xdr:spPr>
        <a:xfrm>
          <a:off x="6577642" y="1635425"/>
          <a:ext cx="1455707" cy="25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Gender-wise</a:t>
          </a:r>
          <a:r>
            <a:rPr lang="en-IN" sz="1100" baseline="0"/>
            <a:t> Analysis</a:t>
          </a:r>
          <a:endParaRPr lang="en-IN" sz="1100"/>
        </a:p>
      </xdr:txBody>
    </xdr:sp>
    <xdr:clientData/>
  </xdr:twoCellAnchor>
  <xdr:twoCellAnchor>
    <xdr:from>
      <xdr:col>7</xdr:col>
      <xdr:colOff>89857</xdr:colOff>
      <xdr:row>10</xdr:row>
      <xdr:rowOff>71888</xdr:rowOff>
    </xdr:from>
    <xdr:to>
      <xdr:col>12</xdr:col>
      <xdr:colOff>557122</xdr:colOff>
      <xdr:row>18</xdr:row>
      <xdr:rowOff>125802</xdr:rowOff>
    </xdr:to>
    <xdr:graphicFrame macro="">
      <xdr:nvGraphicFramePr>
        <xdr:cNvPr id="18" name="Chart 17">
          <a:extLst>
            <a:ext uri="{FF2B5EF4-FFF2-40B4-BE49-F238E27FC236}">
              <a16:creationId xmlns:a16="http://schemas.microsoft.com/office/drawing/2014/main" id="{78E6D51F-8222-4C92-8619-0B0A5882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89858</xdr:colOff>
      <xdr:row>18</xdr:row>
      <xdr:rowOff>80873</xdr:rowOff>
    </xdr:from>
    <xdr:to>
      <xdr:col>12</xdr:col>
      <xdr:colOff>35943</xdr:colOff>
      <xdr:row>19</xdr:row>
      <xdr:rowOff>134788</xdr:rowOff>
    </xdr:to>
    <xdr:sp macro="" textlink="">
      <xdr:nvSpPr>
        <xdr:cNvPr id="30" name="TextBox 29">
          <a:extLst>
            <a:ext uri="{FF2B5EF4-FFF2-40B4-BE49-F238E27FC236}">
              <a16:creationId xmlns:a16="http://schemas.microsoft.com/office/drawing/2014/main" id="{924E3A82-618F-E8C0-665F-5FC1CCD031B4}"/>
            </a:ext>
          </a:extLst>
        </xdr:cNvPr>
        <xdr:cNvSpPr txBox="1"/>
      </xdr:nvSpPr>
      <xdr:spPr>
        <a:xfrm>
          <a:off x="5166863" y="3477524"/>
          <a:ext cx="2390236" cy="242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Patients by Department Referal</a:t>
          </a:r>
        </a:p>
      </xdr:txBody>
    </xdr:sp>
    <xdr:clientData/>
  </xdr:twoCellAnchor>
  <xdr:twoCellAnchor editAs="oneCell">
    <xdr:from>
      <xdr:col>5</xdr:col>
      <xdr:colOff>35945</xdr:colOff>
      <xdr:row>0</xdr:row>
      <xdr:rowOff>98842</xdr:rowOff>
    </xdr:from>
    <xdr:to>
      <xdr:col>6</xdr:col>
      <xdr:colOff>925544</xdr:colOff>
      <xdr:row>3</xdr:row>
      <xdr:rowOff>71888</xdr:rowOff>
    </xdr:to>
    <mc:AlternateContent xmlns:mc="http://schemas.openxmlformats.org/markup-compatibility/2006" xmlns:a14="http://schemas.microsoft.com/office/drawing/2010/main">
      <mc:Choice Requires="a14">
        <xdr:graphicFrame macro="">
          <xdr:nvGraphicFramePr>
            <xdr:cNvPr id="32" name="Date (Year) 1">
              <a:extLst>
                <a:ext uri="{FF2B5EF4-FFF2-40B4-BE49-F238E27FC236}">
                  <a16:creationId xmlns:a16="http://schemas.microsoft.com/office/drawing/2014/main" id="{1D6D2572-5664-40F7-821B-A2A88C4A4CDE}"/>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091134" y="98842"/>
              <a:ext cx="1500636" cy="539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413348</xdr:colOff>
          <xdr:row>8</xdr:row>
          <xdr:rowOff>143774</xdr:rowOff>
        </xdr:from>
        <xdr:to>
          <xdr:col>6</xdr:col>
          <xdr:colOff>1078303</xdr:colOff>
          <xdr:row>11</xdr:row>
          <xdr:rowOff>125803</xdr:rowOff>
        </xdr:to>
        <xdr:pic>
          <xdr:nvPicPr>
            <xdr:cNvPr id="44" name="Picture 43">
              <a:extLst>
                <a:ext uri="{FF2B5EF4-FFF2-40B4-BE49-F238E27FC236}">
                  <a16:creationId xmlns:a16="http://schemas.microsoft.com/office/drawing/2014/main" id="{7B6B5AB4-F316-6E06-32DA-2E49DBC30E8E}"/>
                </a:ext>
              </a:extLst>
            </xdr:cNvPr>
            <xdr:cNvPicPr>
              <a:picLocks noChangeAspect="1" noChangeArrowheads="1"/>
              <a:extLst>
                <a:ext uri="{84589F7E-364E-4C9E-8A38-B11213B215E9}">
                  <a14:cameraTool cellRange="'Pivot Report'!$A$53:$D$55" spid="_x0000_s3102"/>
                </a:ext>
              </a:extLst>
            </xdr:cNvPicPr>
          </xdr:nvPicPr>
          <xdr:blipFill>
            <a:blip xmlns:r="http://schemas.openxmlformats.org/officeDocument/2006/relationships" r:embed="rId17"/>
            <a:srcRect/>
            <a:stretch>
              <a:fillRect/>
            </a:stretch>
          </xdr:blipFill>
          <xdr:spPr bwMode="auto">
            <a:xfrm>
              <a:off x="1024386" y="1653397"/>
              <a:ext cx="3720143" cy="54813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759859</xdr:colOff>
      <xdr:row>0</xdr:row>
      <xdr:rowOff>107022</xdr:rowOff>
    </xdr:from>
    <xdr:to>
      <xdr:col>11</xdr:col>
      <xdr:colOff>276010</xdr:colOff>
      <xdr:row>8</xdr:row>
      <xdr:rowOff>171235</xdr:rowOff>
    </xdr:to>
    <xdr:graphicFrame macro="">
      <xdr:nvGraphicFramePr>
        <xdr:cNvPr id="33" name="Chart 32">
          <a:extLst>
            <a:ext uri="{FF2B5EF4-FFF2-40B4-BE49-F238E27FC236}">
              <a16:creationId xmlns:a16="http://schemas.microsoft.com/office/drawing/2014/main" id="{8A415B18-AF79-4B92-B847-D8AACEA3D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6782411" createdVersion="5" refreshedVersion="8" minRefreshableVersion="3" recordCount="0" supportSubquery="1" supportAdvancedDrill="1" xr:uid="{EB7F2D50-C49E-4EED-9573-3E51EE1A0957}">
  <cacheSource type="external" connectionId="3"/>
  <cacheFields count="4">
    <cacheField name="[Measures].[Distinct Count of Patient Id]" caption="Distinct Count of Patient Id" numFmtId="0" hierarchy="24" level="32767"/>
    <cacheField name="[Calendar_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7013888" createdVersion="5" refreshedVersion="8" minRefreshableVersion="3" recordCount="0" supportSubquery="1" supportAdvancedDrill="1" xr:uid="{0452FDBA-86A2-40D6-A349-E464E9AB3E8F}">
  <cacheSource type="external" connectionId="3"/>
  <cacheFields count="3">
    <cacheField name="[Measures].[Distinct Count of Patient Id]" caption="Distinct Count of Patient Id"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7129627" createdVersion="5" refreshedVersion="8" minRefreshableVersion="3" recordCount="0" supportSubquery="1" supportAdvancedDrill="1" xr:uid="{12CC2CC5-6DB6-4F36-8457-73ECD752808C}">
  <cacheSource type="external" connectionId="3"/>
  <cacheFields count="3">
    <cacheField name="[Measures].[Average of Patient Waittime]" caption="Average of Patient Waittime" numFmtId="0" hierarchy="26"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7361111" createdVersion="5" refreshedVersion="8" minRefreshableVersion="3" recordCount="0" supportSubquery="1" supportAdvancedDrill="1" xr:uid="{5D8541AA-5628-4E83-A2B6-3742257E09EC}">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7824073" createdVersion="5" refreshedVersion="8" minRefreshableVersion="3" recordCount="0" supportSubquery="1" supportAdvancedDrill="1" xr:uid="{D5229C92-2F74-411F-B690-DA9D7D1BA847}">
  <cacheSource type="external" connectionId="3"/>
  <cacheFields count="4">
    <cacheField name="[Calendar_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8402781" createdVersion="5" refreshedVersion="8" minRefreshableVersion="3" recordCount="0" supportSubquery="1" supportAdvancedDrill="1" xr:uid="{5E4760C7-D7C8-4784-A19D-6CED64C8F495}">
  <cacheSource type="external" connectionId="3"/>
  <cacheFields count="4">
    <cacheField name="[Calendar_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ar_table].[Date (Month)].[Date (Month)]" caption="Date (Month)" numFmtId="0" hierarchy="3" level="1">
      <sharedItems containsSemiMixedTypes="0" containsNonDate="0" containsString="0"/>
    </cacheField>
    <cacheField name="[Measures].[Sum of Patient Satisfaction Score]" caption="Sum of Patient Satisfaction Score" numFmtId="0" hierarchy="27"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8865743" createdVersion="5" refreshedVersion="8" minRefreshableVersion="3" recordCount="0" supportSubquery="1" supportAdvancedDrill="1" xr:uid="{0A98CC13-69CC-4A25-92AF-A56909CBF1DF}">
  <cacheSource type="external" connectionId="3"/>
  <cacheFields count="5">
    <cacheField name="[Calendar_table].[Date (Month)].[Date (Month)]" caption="Date (Month)" numFmtId="0" hierarchy="3" level="1">
      <sharedItems containsSemiMixedTypes="0" containsNonDate="0" containsString="0"/>
    </cacheField>
    <cacheField name="[Measures].[Count of Patient Admission Flag]" caption="Count of Patient Admission Flag" numFmtId="0" hierarchy="31" level="32767"/>
    <cacheField name="[Hospital_Emergency_Room_Data].[Patient Admission Flag].[Patient Admission Flag]" caption="Patient Admission Flag" numFmtId="0" hierarchy="13" level="1">
      <sharedItems count="2">
        <s v="Admitted"/>
        <s v="Not Admitted"/>
      </sharedItems>
    </cacheField>
    <cacheField name="[Calendar_table].[Date (Year)].[Date (Year)]" caption="Date (Year)" numFmtId="0" hierarchy="1"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9328705" createdVersion="5" refreshedVersion="8" minRefreshableVersion="3" recordCount="0" supportSubquery="1" supportAdvancedDrill="1" xr:uid="{96603E68-2B9C-4AFC-86F9-617EAB83148A}">
  <cacheSource type="external" connectionId="3"/>
  <cacheFields count="4">
    <cacheField name="[Calendar_table].[Date (Month)].[Date (Month)]" caption="Date (Month)" numFmtId="0" hierarchy="3" level="1">
      <sharedItems containsSemiMixedTypes="0" containsNonDate="0" containsString="0"/>
    </cacheField>
    <cacheField name="[Measures].[Count of Patient Id]" caption="Count of Patient Id" numFmtId="0" hierarchy="23" level="32767"/>
    <cacheField name="[Calendar_table].[Date (Year)].[Date (Year)]" caption="Date (Year)" numFmtId="0" hierarchy="1" level="1">
      <sharedItems containsSemiMixedTypes="0" containsNonDate="0" containsString="0"/>
    </cacheField>
    <cacheField name="[Hospital_Emergency_Room_Data].[Age Group].[Age Group]" caption="Age Group" numFmtId="0" hierarchy="16" level="1">
      <sharedItems count="8">
        <s v="0-09"/>
        <s v="10-19"/>
        <s v="20-29"/>
        <s v="30-39"/>
        <s v="40-49"/>
        <s v="50-59"/>
        <s v="60-69"/>
        <s v="70-79"/>
      </sharedItems>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3"/>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19791667" createdVersion="5" refreshedVersion="8" minRefreshableVersion="3" recordCount="0" supportSubquery="1" supportAdvancedDrill="1" xr:uid="{FFDD6784-6949-4B10-B685-D33E2023CCF8}">
  <cacheSource type="external" connectionId="3"/>
  <cacheFields count="4">
    <cacheField name="[Calendar_table].[Date (Month)].[Date (Month)]" caption="Date (Month)" numFmtId="0" hierarchy="3" level="1">
      <sharedItems containsSemiMixedTypes="0" containsNonDate="0" containsString="0"/>
    </cacheField>
    <cacheField name="[Measures].[Count of Patient Id]" caption="Count of Patient Id" numFmtId="0" hierarchy="23" level="32767"/>
    <cacheField name="[Hospital_Emergency_Room_Data].[Patient Gender].[Patient Gender]" caption="Patient Gender" numFmtId="0" hierarchy="9" level="1">
      <sharedItems count="2">
        <s v="Female"/>
        <s v="Male"/>
      </sharedItems>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2"/>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20370367" createdVersion="5" refreshedVersion="8" minRefreshableVersion="3" recordCount="0" supportSubquery="1" supportAdvancedDrill="1" xr:uid="{0DE70921-95F6-4375-95FC-7A41FE2B7E08}">
  <cacheSource type="external" connectionId="3"/>
  <cacheFields count="4">
    <cacheField name="[Calendar_table].[Date (Month)].[Date (Month)]" caption="Date (Month)" numFmtId="0" hierarchy="3" level="1">
      <sharedItems containsSemiMixedTypes="0" containsNonDate="0" containsString="0"/>
    </cacheField>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1"/>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20949075" createdVersion="5" refreshedVersion="8" minRefreshableVersion="3" recordCount="0" supportSubquery="1" supportAdvancedDrill="1" xr:uid="{F504714D-8A01-4643-B100-7CB2CD53E284}">
  <cacheSource type="external" connectionId="3"/>
  <cacheFields count="2">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2"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2"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69.591621412037" createdVersion="5" refreshedVersion="8" minRefreshableVersion="3" recordCount="0" supportSubquery="1" supportAdvancedDrill="1" xr:uid="{9B0BDC0B-83CE-48D9-B0D0-2BAE8760FEE9}">
  <cacheSource type="external" connectionId="3"/>
  <cacheFields count="4">
    <cacheField name="[Calendar_table].[Date (Month)].[Date (Month)]" caption="Date (Month)" numFmtId="0" hierarchy="3" level="1">
      <sharedItems containsSemiMixedTypes="0" containsNonDate="0" containsString="0"/>
    </cacheField>
    <cacheField name="[Measures].[Count of Patient Id]" caption="Count of Patient Id" numFmtId="0" hierarchy="23" level="32767"/>
    <cacheField name="[Calendar_table].[Date (Year)].[Date (Year)]" caption="Date (Year)" numFmtId="0" hierarchy="1" level="1">
      <sharedItems containsSemiMixedTypes="0" containsNonDate="0" containsString="0"/>
    </cacheField>
    <cacheField name="[Hospital_Emergency_Room_Data].[Patient attend status].[Patient attend status]" caption="Patient attend status" numFmtId="0" hierarchy="17" level="1">
      <sharedItems count="2">
        <s v="Delay"/>
        <s v="Ontime"/>
      </sharedItems>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3"/>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53.413610648146" createdVersion="3" refreshedVersion="8" minRefreshableVersion="3" recordCount="0" supportSubquery="1" supportAdvancedDrill="1" xr:uid="{02CD9D49-EAED-4C78-B678-505010B266A5}">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1]" caption="Patient Admission Date.1" attribute="1" time="1" defaultMemberUniqueName="[Hospital_Emergency_Room_Data].[Patient Admission Date.1].[All]" allUniqueName="[Hospital_Emergency_Room_Data].[Patient Admission Date.1].[All]" dimensionUniqueName="[Hospital_Emergency_Room_Data]" displayFolder="" count="0" memberValueDatatype="7" unbalanced="0"/>
    <cacheHierarchy uniqueName="[Hospital_Emergency_Room_Data].[Patient Admission Date.2]" caption="Patient Admission Date.2" attribute="1" defaultMemberUniqueName="[Hospital_Emergency_Room_Data].[Patient Admission Date.2].[All]" allUniqueName="[Hospital_Emergency_Room_Data].[Patient Admission Date.2].[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224079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23156-4235-47BF-BA4B-451E3A9DA985}" name="PivotTable5" cacheId="5" applyNumberFormats="0" applyBorderFormats="0" applyFontFormats="0" applyPatternFormats="0" applyAlignmentFormats="0" applyWidthHeightFormats="1" dataCaption="Values" tag="d1f2c0e0-f49a-4abf-b2a5-3c56df4bdfd2" updatedVersion="8" minRefreshableVersion="3" subtotalHiddenItems="1" itemPrintTitles="1" createdVersion="5" indent="0" outline="1" outlineData="1" multipleFieldFilters="0" chartFormat="24">
  <location ref="L11:M43"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dataFields>
  <chartFormats count="4">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7D48E-3594-4F82-AAE0-C7C9C3F91B98}" name="PivotTable3" cacheId="3" applyNumberFormats="0" applyBorderFormats="0" applyFontFormats="0" applyPatternFormats="0" applyAlignmentFormats="0" applyWidthHeightFormats="1" dataCaption="Values" tag="40a995df-1b94-4d10-95db-a02dda93e63c"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FE686-C150-4650-ACC4-C36C90DDA888}" name="PivotTable8" cacheId="7" applyNumberFormats="0" applyBorderFormats="0" applyFontFormats="0" applyPatternFormats="0" applyAlignmentFormats="0" applyWidthHeightFormats="1" dataCaption="Values" tag="40a995df-1b94-4d10-95db-a02dda93e63c" updatedVersion="8" minRefreshableVersion="3" subtotalHiddenItems="1" itemPrintTitles="1" createdVersion="5" indent="0" outline="1" outlineData="1" multipleFieldFilters="0" chartFormat="15">
  <location ref="D64:E73" firstHeaderRow="1" firstDataRow="1" firstDataCol="1"/>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s>
  <rowFields count="1">
    <field x="3"/>
  </rowFields>
  <rowItems count="9">
    <i>
      <x/>
    </i>
    <i>
      <x v="1"/>
    </i>
    <i>
      <x v="2"/>
    </i>
    <i>
      <x v="3"/>
    </i>
    <i>
      <x v="4"/>
    </i>
    <i>
      <x v="5"/>
    </i>
    <i>
      <x v="6"/>
    </i>
    <i>
      <x v="7"/>
    </i>
    <i t="grand">
      <x/>
    </i>
  </rowItems>
  <colItems count="1">
    <i/>
  </colItems>
  <dataFields count="1">
    <dataField name="Count of Patient Id" fld="1" subtotal="count" baseField="0" baseItem="0"/>
  </dataFields>
  <formats count="1">
    <format dxfId="1">
      <pivotArea outline="0" collapsedLevelsAreSubtotals="1" fieldPosition="0"/>
    </format>
  </formats>
  <chartFormats count="9">
    <chartFormat chart="5"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5FCC77-0C03-4F77-AA9B-9AED9E3F00FC}" name="PivotTable4" cacheId="4" applyNumberFormats="0" applyBorderFormats="0" applyFontFormats="0" applyPatternFormats="0" applyAlignmentFormats="0" applyWidthHeightFormats="1" dataCaption="Values" tag="d1f2c0e0-f49a-4abf-b2a5-3c56df4bdfd2" updatedVersion="8" minRefreshableVersion="3" subtotalHiddenItems="1" itemPrintTitles="1" createdVersion="5" indent="0" outline="1" outlineData="1" multipleFieldFilters="0" chartFormat="16">
  <location ref="I11:J43"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chartFormats count="2">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E34B8F-3845-4323-A972-6C950AB0C75A}" name="PivotTable10" cacheId="9" applyNumberFormats="0" applyBorderFormats="0" applyFontFormats="0" applyPatternFormats="0" applyAlignmentFormats="0" applyWidthHeightFormats="1" dataCaption="Values" tag="40a995df-1b94-4d10-95db-a02dda93e63c" updatedVersion="8" minRefreshableVersion="3" subtotalHiddenItems="1" itemPrintTitles="1" createdVersion="5" indent="0" outline="1" outlineData="1" multipleFieldFilters="0" chartFormat="21">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i>
    <i>
      <x v="3"/>
    </i>
    <i>
      <x v="6"/>
    </i>
    <i>
      <x v="5"/>
    </i>
    <i>
      <x v="2"/>
    </i>
    <i>
      <x v="4"/>
    </i>
    <i t="grand">
      <x/>
    </i>
  </rowItems>
  <colItems count="1">
    <i/>
  </colItems>
  <dataFields count="1">
    <dataField name="Count of Department Referral" fld="2" subtotal="count" baseField="0" baseItem="0"/>
  </dataFields>
  <formats count="1">
    <format dxfId="2">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C40E12-682D-4F57-9EB6-8D636E6508FF}" name="PivotTable12" cacheId="11" applyNumberFormats="0" applyBorderFormats="0" applyFontFormats="0" applyPatternFormats="0" applyAlignmentFormats="0" applyWidthHeightFormats="1" dataCaption="Values" tag="40a995df-1b94-4d10-95db-a02dda93e63c" updatedVersion="8" minRefreshableVersion="3" subtotalHiddenItems="1" itemPrintTitles="1" createdVersion="5" indent="0" outline="1" outlineData="1" multipleFieldFilters="0" chartFormat="23">
  <location ref="E78:F81" firstHeaderRow="1" firstDataRow="1" firstDataCol="1"/>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1" subtotal="count" baseField="0" baseItem="0"/>
  </dataFields>
  <formats count="1">
    <format dxfId="3">
      <pivotArea outline="0" collapsedLevelsAreSubtotals="1" fieldPosition="0"/>
    </format>
  </formats>
  <chartFormats count="13">
    <chartFormat chart="5"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3"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3" count="1" selected="0">
            <x v="0"/>
          </reference>
        </references>
      </pivotArea>
    </chartFormat>
    <chartFormat chart="22" format="7">
      <pivotArea type="data" outline="0" fieldPosition="0">
        <references count="2">
          <reference field="4294967294" count="1" selected="0">
            <x v="0"/>
          </reference>
          <reference field="3" count="1" selected="0">
            <x v="1"/>
          </reference>
        </references>
      </pivotArea>
    </chartFormat>
    <chartFormat chart="18" format="2">
      <pivotArea type="data" outline="0" fieldPosition="0">
        <references count="2">
          <reference field="4294967294" count="1" selected="0">
            <x v="0"/>
          </reference>
          <reference field="3" count="1" selected="0">
            <x v="1"/>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82EF93-FE38-4FA4-93DC-EE66F736FA50}" name="PivotTable1" cacheId="1" applyNumberFormats="0" applyBorderFormats="0" applyFontFormats="0" applyPatternFormats="0" applyAlignmentFormats="0" applyWidthHeightFormats="1" dataCaption="Values" tag="0417e485-a509-4d68-b794-3d92ff44465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4372">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1BFDD6-D81E-4EA6-958F-ED36092D3EB7}" name="PivotTable2" cacheId="2" applyNumberFormats="0" applyBorderFormats="0" applyFontFormats="0" applyPatternFormats="0" applyAlignmentFormats="0" applyWidthHeightFormats="1" dataCaption="Values" tag="2c5ce976-c7fc-433e-8a5f-5e403b25c8e9"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4372" numFmtId="2"/>
  </dataFields>
  <formats count="1">
    <format dxfId="4">
      <pivotArea outline="0" collapsedLevelsAreSubtotals="1" fieldPosition="0"/>
    </format>
  </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0C1752-B965-41CA-9372-69A2ED0C32A3}" name="PivotTable6" cacheId="0" applyNumberFormats="0" applyBorderFormats="0" applyFontFormats="0" applyPatternFormats="0" applyAlignmentFormats="0" applyWidthHeightFormats="1" dataCaption="Values" tag="d1f2c0e0-f49a-4abf-b2a5-3c56df4bdfd2" updatedVersion="8" minRefreshableVersion="3" subtotalHiddenItems="1" itemPrintTitles="1" createdVersion="5" indent="0" outline="1" outlineData="1" multipleFieldFilters="0" chartFormat="9">
  <location ref="E11:F43"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4372">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81C7BE-43F2-4425-8C60-789C797E9FE6}" name="PivotTable11" cacheId="10" applyNumberFormats="0" applyBorderFormats="0" applyFontFormats="0" applyPatternFormats="0" applyAlignmentFormats="0" applyWidthHeightFormats="1" dataCaption="Values" tag="40a995df-1b94-4d10-95db-a02dda93e63c" updatedVersion="8" minRefreshableVersion="3" subtotalHiddenItems="1" itemPrintTitles="1" createdVersion="5" indent="0" outline="1" outlineData="1" multipleFieldFilters="0" chartFormat="18">
  <location ref="A90:A9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5">
      <pivotArea outline="0" collapsedLevelsAreSubtotals="1" fieldPosition="0"/>
    </format>
  </formats>
  <pivotHierarchies count="34">
    <pivotHierarchy dragToData="1"/>
    <pivotHierarchy multipleItemSelectionAllowed="1" dragToData="1"/>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B109FD-52D7-4A31-AD04-DC854C0019F2}" name="PivotTable7" cacheId="6" applyNumberFormats="0" applyBorderFormats="0" applyFontFormats="0" applyPatternFormats="0" applyAlignmentFormats="0" applyWidthHeightFormats="1" dataCaption="Values" tag="40a995df-1b94-4d10-95db-a02dda93e63c" updatedVersion="8" minRefreshableVersion="3" subtotalHiddenItems="1" itemPrintTitles="1" createdVersion="5" indent="0" outline="1" outlineData="1" multipleFieldFilters="0" chartFormat="5">
  <location ref="A46:C4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1"/>
        </ext>
      </extLst>
    </dataField>
  </dataFields>
  <formats count="4">
    <format dxfId="9">
      <pivotArea outline="0" collapsedLevelsAreSubtotals="1" fieldPosition="0"/>
    </format>
    <format dxfId="8">
      <pivotArea collapsedLevelsAreSubtotals="1" fieldPosition="0">
        <references count="1">
          <reference field="2" count="1">
            <x v="1"/>
          </reference>
        </references>
      </pivotArea>
    </format>
    <format dxfId="7">
      <pivotArea collapsedLevelsAreSubtotals="1" fieldPosition="0">
        <references count="1">
          <reference field="2" count="1">
            <x v="0"/>
          </reference>
        </references>
      </pivotArea>
    </format>
    <format dxfId="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FB9DAF-2A67-4D4A-A449-CF38C82FEB0F}" name="PivotTable9" cacheId="8" applyNumberFormats="0" applyBorderFormats="0" applyFontFormats="0" applyPatternFormats="0" applyAlignmentFormats="0" applyWidthHeightFormats="1" dataCaption="Values" tag="40a995df-1b94-4d10-95db-a02dda93e63c" updatedVersion="8" minRefreshableVersion="3" subtotalHiddenItems="1" itemPrintTitles="1" createdVersion="5" indent="0" outline="1" outlineData="1" multipleFieldFilters="0" chartFormat="18">
  <location ref="A68:B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0">
      <pivotArea outline="0" collapsedLevelsAreSubtotals="1" fieldPosition="0"/>
    </format>
  </formats>
  <chartFormats count="9">
    <chartFormat chart="5"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2" count="1" selected="0">
            <x v="0"/>
          </reference>
        </references>
      </pivotArea>
    </chartFormat>
    <chartFormat chart="17" format="7">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43CE0A8-C109-442D-A72A-E753B66F9691}" sourceName="[Calendar_table].[Date (Month)]">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 tabId="1" name="PivotTable11"/>
    <pivotTable tabId="1" name="PivotTable12"/>
  </pivotTables>
  <data>
    <olap pivotCacheId="62240798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E43DC88-1369-4C59-BE4F-F5D64B5804FD}" sourceName="[Calenda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s>
  <data>
    <olap pivotCacheId="62240798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254CA52-6AE2-4487-9980-C5E2FF2365EF}"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700DB98-2BF2-4A17-B1BF-B8B882729B42}" cache="Slicer_Date__Month" caption="Date (Month)" showCaption="0" level="1" style="My Style" rowHeight="182880"/>
  <slicer name="Date (Year) 1" xr10:uid="{F1C5F1E8-9CF5-4053-8841-572F061AED47}"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8E2E6-9C4F-44F1-AC9D-BAE590801058}">
  <dimension ref="A3:M92"/>
  <sheetViews>
    <sheetView topLeftCell="A69" workbookViewId="0">
      <selection activeCell="F79" sqref="F79"/>
    </sheetView>
  </sheetViews>
  <sheetFormatPr defaultRowHeight="15" x14ac:dyDescent="0.25"/>
  <cols>
    <col min="1" max="1" width="21.140625" customWidth="1"/>
    <col min="2" max="2" width="12.28515625" customWidth="1"/>
    <col min="3" max="3" width="10" customWidth="1"/>
    <col min="4" max="4" width="19.5703125" customWidth="1"/>
    <col min="5" max="5" width="27" bestFit="1" customWidth="1"/>
    <col min="6" max="6" width="25.140625" bestFit="1" customWidth="1"/>
    <col min="9" max="9" width="19.85546875" bestFit="1" customWidth="1"/>
    <col min="10" max="10" width="26.85546875" bestFit="1" customWidth="1"/>
    <col min="12" max="12" width="13.140625" bestFit="1" customWidth="1"/>
    <col min="13" max="13" width="30.7109375" bestFit="1" customWidth="1"/>
  </cols>
  <sheetData>
    <row r="3" spans="1:13" x14ac:dyDescent="0.25">
      <c r="A3" t="s">
        <v>2</v>
      </c>
    </row>
    <row r="4" spans="1:13" x14ac:dyDescent="0.25">
      <c r="A4" t="s">
        <v>0</v>
      </c>
    </row>
    <row r="5" spans="1:13" x14ac:dyDescent="0.25">
      <c r="A5" s="1">
        <v>493</v>
      </c>
    </row>
    <row r="8" spans="1:13" x14ac:dyDescent="0.25">
      <c r="A8" t="s">
        <v>1</v>
      </c>
    </row>
    <row r="9" spans="1:13" x14ac:dyDescent="0.25">
      <c r="A9" s="2">
        <v>34.933062880324542</v>
      </c>
    </row>
    <row r="10" spans="1:13" x14ac:dyDescent="0.25">
      <c r="E10" t="s">
        <v>7</v>
      </c>
      <c r="I10" t="s">
        <v>6</v>
      </c>
      <c r="L10" t="s">
        <v>9</v>
      </c>
    </row>
    <row r="11" spans="1:13" x14ac:dyDescent="0.25">
      <c r="E11" s="4" t="s">
        <v>4</v>
      </c>
      <c r="F11" t="s">
        <v>0</v>
      </c>
      <c r="I11" s="4" t="s">
        <v>4</v>
      </c>
      <c r="J11" t="s">
        <v>1</v>
      </c>
      <c r="L11" s="4" t="s">
        <v>4</v>
      </c>
      <c r="M11" t="s">
        <v>8</v>
      </c>
    </row>
    <row r="12" spans="1:13" x14ac:dyDescent="0.25">
      <c r="E12" s="5" t="s">
        <v>43</v>
      </c>
      <c r="F12" s="1">
        <v>15</v>
      </c>
      <c r="I12" s="5" t="s">
        <v>43</v>
      </c>
      <c r="J12" s="2">
        <v>36.4</v>
      </c>
      <c r="L12" s="5" t="s">
        <v>43</v>
      </c>
      <c r="M12" s="1">
        <v>24</v>
      </c>
    </row>
    <row r="13" spans="1:13" x14ac:dyDescent="0.25">
      <c r="A13" t="s">
        <v>3</v>
      </c>
      <c r="E13" s="5" t="s">
        <v>44</v>
      </c>
      <c r="F13" s="1">
        <v>14</v>
      </c>
      <c r="I13" s="5" t="s">
        <v>44</v>
      </c>
      <c r="J13" s="2">
        <v>33.357142857142854</v>
      </c>
      <c r="L13" s="5" t="s">
        <v>44</v>
      </c>
      <c r="M13" s="1">
        <v>19</v>
      </c>
    </row>
    <row r="14" spans="1:13" x14ac:dyDescent="0.25">
      <c r="A14" s="2">
        <v>4.7449664429530198</v>
      </c>
      <c r="E14" s="5" t="s">
        <v>45</v>
      </c>
      <c r="F14" s="1">
        <v>15</v>
      </c>
      <c r="I14" s="5" t="s">
        <v>45</v>
      </c>
      <c r="J14" s="2">
        <v>38.200000000000003</v>
      </c>
      <c r="L14" s="5" t="s">
        <v>45</v>
      </c>
      <c r="M14" s="1">
        <v>5</v>
      </c>
    </row>
    <row r="15" spans="1:13" x14ac:dyDescent="0.25">
      <c r="E15" s="5" t="s">
        <v>46</v>
      </c>
      <c r="F15" s="1">
        <v>18</v>
      </c>
      <c r="I15" s="5" t="s">
        <v>46</v>
      </c>
      <c r="J15" s="2">
        <v>37.611111111111114</v>
      </c>
      <c r="L15" s="5" t="s">
        <v>46</v>
      </c>
      <c r="M15" s="1">
        <v>15</v>
      </c>
    </row>
    <row r="16" spans="1:13" x14ac:dyDescent="0.25">
      <c r="E16" s="5" t="s">
        <v>47</v>
      </c>
      <c r="F16" s="1">
        <v>19</v>
      </c>
      <c r="I16" s="5" t="s">
        <v>47</v>
      </c>
      <c r="J16" s="2">
        <v>29.210526315789473</v>
      </c>
      <c r="L16" s="5" t="s">
        <v>47</v>
      </c>
      <c r="M16" s="1">
        <v>16</v>
      </c>
    </row>
    <row r="17" spans="5:13" x14ac:dyDescent="0.25">
      <c r="E17" s="5" t="s">
        <v>48</v>
      </c>
      <c r="F17" s="1">
        <v>15</v>
      </c>
      <c r="I17" s="5" t="s">
        <v>48</v>
      </c>
      <c r="J17" s="2">
        <v>37.266666666666666</v>
      </c>
      <c r="L17" s="5" t="s">
        <v>48</v>
      </c>
      <c r="M17" s="1">
        <v>28</v>
      </c>
    </row>
    <row r="18" spans="5:13" x14ac:dyDescent="0.25">
      <c r="E18" s="5" t="s">
        <v>49</v>
      </c>
      <c r="F18" s="1">
        <v>15</v>
      </c>
      <c r="I18" s="5" t="s">
        <v>49</v>
      </c>
      <c r="J18" s="2">
        <v>34.133333333333333</v>
      </c>
      <c r="L18" s="5" t="s">
        <v>49</v>
      </c>
      <c r="M18" s="1">
        <v>42</v>
      </c>
    </row>
    <row r="19" spans="5:13" x14ac:dyDescent="0.25">
      <c r="E19" s="5" t="s">
        <v>50</v>
      </c>
      <c r="F19" s="1">
        <v>10</v>
      </c>
      <c r="I19" s="5" t="s">
        <v>50</v>
      </c>
      <c r="J19" s="2">
        <v>38.6</v>
      </c>
      <c r="L19" s="5" t="s">
        <v>50</v>
      </c>
      <c r="M19" s="1">
        <v>9</v>
      </c>
    </row>
    <row r="20" spans="5:13" x14ac:dyDescent="0.25">
      <c r="E20" s="5" t="s">
        <v>51</v>
      </c>
      <c r="F20" s="1">
        <v>19</v>
      </c>
      <c r="I20" s="5" t="s">
        <v>51</v>
      </c>
      <c r="J20" s="2">
        <v>36.05263157894737</v>
      </c>
      <c r="L20" s="5" t="s">
        <v>51</v>
      </c>
      <c r="M20" s="1">
        <v>20</v>
      </c>
    </row>
    <row r="21" spans="5:13" x14ac:dyDescent="0.25">
      <c r="E21" s="5" t="s">
        <v>52</v>
      </c>
      <c r="F21" s="1">
        <v>12</v>
      </c>
      <c r="I21" s="5" t="s">
        <v>52</v>
      </c>
      <c r="J21" s="2">
        <v>39.833333333333336</v>
      </c>
      <c r="L21" s="5" t="s">
        <v>52</v>
      </c>
      <c r="M21" s="1">
        <v>7</v>
      </c>
    </row>
    <row r="22" spans="5:13" x14ac:dyDescent="0.25">
      <c r="E22" s="5" t="s">
        <v>53</v>
      </c>
      <c r="F22" s="1">
        <v>20</v>
      </c>
      <c r="I22" s="5" t="s">
        <v>53</v>
      </c>
      <c r="J22" s="2">
        <v>34.700000000000003</v>
      </c>
      <c r="L22" s="5" t="s">
        <v>53</v>
      </c>
      <c r="M22" s="1">
        <v>37</v>
      </c>
    </row>
    <row r="23" spans="5:13" x14ac:dyDescent="0.25">
      <c r="E23" s="5" t="s">
        <v>54</v>
      </c>
      <c r="F23" s="1">
        <v>18</v>
      </c>
      <c r="I23" s="5" t="s">
        <v>54</v>
      </c>
      <c r="J23" s="2">
        <v>41.055555555555557</v>
      </c>
      <c r="L23" s="5" t="s">
        <v>54</v>
      </c>
      <c r="M23" s="1">
        <v>21</v>
      </c>
    </row>
    <row r="24" spans="5:13" x14ac:dyDescent="0.25">
      <c r="E24" s="5" t="s">
        <v>55</v>
      </c>
      <c r="F24" s="1">
        <v>20</v>
      </c>
      <c r="I24" s="5" t="s">
        <v>55</v>
      </c>
      <c r="J24" s="2">
        <v>36.950000000000003</v>
      </c>
      <c r="L24" s="5" t="s">
        <v>55</v>
      </c>
      <c r="M24" s="1">
        <v>27</v>
      </c>
    </row>
    <row r="25" spans="5:13" x14ac:dyDescent="0.25">
      <c r="E25" s="5" t="s">
        <v>56</v>
      </c>
      <c r="F25" s="1">
        <v>11</v>
      </c>
      <c r="I25" s="5" t="s">
        <v>56</v>
      </c>
      <c r="J25" s="2">
        <v>38.18181818181818</v>
      </c>
      <c r="L25" s="5" t="s">
        <v>56</v>
      </c>
      <c r="M25" s="1">
        <v>25</v>
      </c>
    </row>
    <row r="26" spans="5:13" x14ac:dyDescent="0.25">
      <c r="E26" s="5" t="s">
        <v>57</v>
      </c>
      <c r="F26" s="1">
        <v>10</v>
      </c>
      <c r="I26" s="5" t="s">
        <v>57</v>
      </c>
      <c r="J26" s="2">
        <v>30.9</v>
      </c>
      <c r="L26" s="5" t="s">
        <v>57</v>
      </c>
      <c r="M26" s="1">
        <v>15</v>
      </c>
    </row>
    <row r="27" spans="5:13" x14ac:dyDescent="0.25">
      <c r="E27" s="5" t="s">
        <v>58</v>
      </c>
      <c r="F27" s="1">
        <v>14</v>
      </c>
      <c r="I27" s="5" t="s">
        <v>58</v>
      </c>
      <c r="J27" s="2">
        <v>27.571428571428573</v>
      </c>
      <c r="L27" s="5" t="s">
        <v>58</v>
      </c>
      <c r="M27" s="1">
        <v>34</v>
      </c>
    </row>
    <row r="28" spans="5:13" x14ac:dyDescent="0.25">
      <c r="E28" s="5" t="s">
        <v>59</v>
      </c>
      <c r="F28" s="1">
        <v>11</v>
      </c>
      <c r="I28" s="5" t="s">
        <v>59</v>
      </c>
      <c r="J28" s="2">
        <v>33.18181818181818</v>
      </c>
      <c r="L28" s="5" t="s">
        <v>59</v>
      </c>
      <c r="M28" s="1">
        <v>25</v>
      </c>
    </row>
    <row r="29" spans="5:13" x14ac:dyDescent="0.25">
      <c r="E29" s="5" t="s">
        <v>60</v>
      </c>
      <c r="F29" s="1">
        <v>25</v>
      </c>
      <c r="I29" s="5" t="s">
        <v>60</v>
      </c>
      <c r="J29" s="2">
        <v>34.28</v>
      </c>
      <c r="L29" s="5" t="s">
        <v>60</v>
      </c>
      <c r="M29" s="1">
        <v>33</v>
      </c>
    </row>
    <row r="30" spans="5:13" x14ac:dyDescent="0.25">
      <c r="E30" s="5" t="s">
        <v>61</v>
      </c>
      <c r="F30" s="1">
        <v>17</v>
      </c>
      <c r="I30" s="5" t="s">
        <v>61</v>
      </c>
      <c r="J30" s="2">
        <v>39.764705882352942</v>
      </c>
      <c r="L30" s="5" t="s">
        <v>61</v>
      </c>
      <c r="M30" s="1">
        <v>47</v>
      </c>
    </row>
    <row r="31" spans="5:13" x14ac:dyDescent="0.25">
      <c r="E31" s="5" t="s">
        <v>62</v>
      </c>
      <c r="F31" s="1">
        <v>22</v>
      </c>
      <c r="I31" s="5" t="s">
        <v>62</v>
      </c>
      <c r="J31" s="2">
        <v>31.954545454545453</v>
      </c>
      <c r="L31" s="5" t="s">
        <v>62</v>
      </c>
      <c r="M31" s="1">
        <v>11</v>
      </c>
    </row>
    <row r="32" spans="5:13" x14ac:dyDescent="0.25">
      <c r="E32" s="5" t="s">
        <v>63</v>
      </c>
      <c r="F32" s="1">
        <v>18</v>
      </c>
      <c r="I32" s="5" t="s">
        <v>63</v>
      </c>
      <c r="J32" s="2">
        <v>30.166666666666668</v>
      </c>
      <c r="L32" s="5" t="s">
        <v>63</v>
      </c>
      <c r="M32" s="1">
        <v>41</v>
      </c>
    </row>
    <row r="33" spans="1:13" x14ac:dyDescent="0.25">
      <c r="E33" s="5" t="s">
        <v>64</v>
      </c>
      <c r="F33" s="1">
        <v>16</v>
      </c>
      <c r="I33" s="5" t="s">
        <v>64</v>
      </c>
      <c r="J33" s="2">
        <v>36.875</v>
      </c>
      <c r="L33" s="5" t="s">
        <v>64</v>
      </c>
      <c r="M33" s="1">
        <v>27</v>
      </c>
    </row>
    <row r="34" spans="1:13" x14ac:dyDescent="0.25">
      <c r="E34" s="5" t="s">
        <v>65</v>
      </c>
      <c r="F34" s="1">
        <v>14</v>
      </c>
      <c r="I34" s="5" t="s">
        <v>65</v>
      </c>
      <c r="J34" s="2">
        <v>38.714285714285715</v>
      </c>
      <c r="L34" s="5" t="s">
        <v>65</v>
      </c>
      <c r="M34" s="1">
        <v>34</v>
      </c>
    </row>
    <row r="35" spans="1:13" x14ac:dyDescent="0.25">
      <c r="E35" s="5" t="s">
        <v>66</v>
      </c>
      <c r="F35" s="1">
        <v>13</v>
      </c>
      <c r="I35" s="5" t="s">
        <v>66</v>
      </c>
      <c r="J35" s="2">
        <v>31.923076923076923</v>
      </c>
      <c r="L35" s="5" t="s">
        <v>66</v>
      </c>
      <c r="M35" s="1">
        <v>26</v>
      </c>
    </row>
    <row r="36" spans="1:13" x14ac:dyDescent="0.25">
      <c r="E36" s="5" t="s">
        <v>67</v>
      </c>
      <c r="F36" s="1">
        <v>15</v>
      </c>
      <c r="I36" s="5" t="s">
        <v>67</v>
      </c>
      <c r="J36" s="2">
        <v>29.6</v>
      </c>
      <c r="L36" s="5" t="s">
        <v>67</v>
      </c>
      <c r="M36" s="1">
        <v>13</v>
      </c>
    </row>
    <row r="37" spans="1:13" x14ac:dyDescent="0.25">
      <c r="E37" s="5" t="s">
        <v>68</v>
      </c>
      <c r="F37" s="1">
        <v>18</v>
      </c>
      <c r="I37" s="5" t="s">
        <v>68</v>
      </c>
      <c r="J37" s="2">
        <v>31.666666666666668</v>
      </c>
      <c r="L37" s="5" t="s">
        <v>68</v>
      </c>
      <c r="M37" s="1">
        <v>28</v>
      </c>
    </row>
    <row r="38" spans="1:13" x14ac:dyDescent="0.25">
      <c r="E38" s="5" t="s">
        <v>69</v>
      </c>
      <c r="F38" s="1">
        <v>10</v>
      </c>
      <c r="I38" s="5" t="s">
        <v>69</v>
      </c>
      <c r="J38" s="2">
        <v>42.6</v>
      </c>
      <c r="L38" s="5" t="s">
        <v>69</v>
      </c>
      <c r="M38" s="1">
        <v>18</v>
      </c>
    </row>
    <row r="39" spans="1:13" x14ac:dyDescent="0.25">
      <c r="E39" s="5" t="s">
        <v>70</v>
      </c>
      <c r="F39" s="1">
        <v>15</v>
      </c>
      <c r="I39" s="5" t="s">
        <v>70</v>
      </c>
      <c r="J39" s="2">
        <v>33.799999999999997</v>
      </c>
      <c r="L39" s="5" t="s">
        <v>70</v>
      </c>
      <c r="M39" s="1">
        <v>11</v>
      </c>
    </row>
    <row r="40" spans="1:13" x14ac:dyDescent="0.25">
      <c r="E40" s="5" t="s">
        <v>71</v>
      </c>
      <c r="F40" s="1">
        <v>18</v>
      </c>
      <c r="I40" s="5" t="s">
        <v>71</v>
      </c>
      <c r="J40" s="2">
        <v>40.555555555555557</v>
      </c>
      <c r="L40" s="5" t="s">
        <v>71</v>
      </c>
      <c r="M40" s="1">
        <v>16</v>
      </c>
    </row>
    <row r="41" spans="1:13" x14ac:dyDescent="0.25">
      <c r="E41" s="5" t="s">
        <v>72</v>
      </c>
      <c r="F41" s="1">
        <v>16</v>
      </c>
      <c r="I41" s="5" t="s">
        <v>72</v>
      </c>
      <c r="J41" s="2">
        <v>26.75</v>
      </c>
      <c r="L41" s="5" t="s">
        <v>72</v>
      </c>
      <c r="M41" s="1">
        <v>8</v>
      </c>
    </row>
    <row r="42" spans="1:13" x14ac:dyDescent="0.25">
      <c r="E42" s="5" t="s">
        <v>73</v>
      </c>
      <c r="F42" s="1">
        <v>20</v>
      </c>
      <c r="I42" s="5" t="s">
        <v>73</v>
      </c>
      <c r="J42" s="2">
        <v>35.049999999999997</v>
      </c>
      <c r="L42" s="5" t="s">
        <v>73</v>
      </c>
      <c r="M42" s="1">
        <v>25</v>
      </c>
    </row>
    <row r="43" spans="1:13" x14ac:dyDescent="0.25">
      <c r="E43" s="5" t="s">
        <v>5</v>
      </c>
      <c r="F43" s="1">
        <v>493</v>
      </c>
      <c r="I43" s="5" t="s">
        <v>5</v>
      </c>
      <c r="J43" s="2">
        <v>34.933062880324542</v>
      </c>
      <c r="L43" s="5" t="s">
        <v>5</v>
      </c>
      <c r="M43" s="1">
        <v>707</v>
      </c>
    </row>
    <row r="46" spans="1:13" x14ac:dyDescent="0.25">
      <c r="A46" s="4" t="s">
        <v>4</v>
      </c>
      <c r="B46" t="s">
        <v>15</v>
      </c>
      <c r="C46" t="s">
        <v>14</v>
      </c>
    </row>
    <row r="47" spans="1:13" x14ac:dyDescent="0.25">
      <c r="A47" s="5" t="s">
        <v>12</v>
      </c>
      <c r="B47" s="7">
        <v>239</v>
      </c>
      <c r="C47" s="8">
        <v>0.48478701825557807</v>
      </c>
    </row>
    <row r="48" spans="1:13" x14ac:dyDescent="0.25">
      <c r="A48" s="5" t="s">
        <v>10</v>
      </c>
      <c r="B48" s="7">
        <v>254</v>
      </c>
      <c r="C48" s="8">
        <v>0.51521298174442187</v>
      </c>
    </row>
    <row r="49" spans="1:5" x14ac:dyDescent="0.25">
      <c r="A49" s="5" t="s">
        <v>5</v>
      </c>
      <c r="B49" s="2">
        <v>493</v>
      </c>
      <c r="C49" s="8">
        <v>1</v>
      </c>
    </row>
    <row r="53" spans="1:5" x14ac:dyDescent="0.25">
      <c r="A53" s="10" t="s">
        <v>16</v>
      </c>
      <c r="B53" s="10" t="s">
        <v>18</v>
      </c>
      <c r="C53" s="10" t="s">
        <v>17</v>
      </c>
      <c r="D53" s="9"/>
    </row>
    <row r="54" spans="1:5" x14ac:dyDescent="0.25">
      <c r="A54" s="11" t="str">
        <f>A48</f>
        <v>Not Admitted</v>
      </c>
      <c r="B54" s="11">
        <f>B48</f>
        <v>254</v>
      </c>
      <c r="C54" s="12">
        <f>C48</f>
        <v>0.51521298174442187</v>
      </c>
      <c r="D54" s="6"/>
    </row>
    <row r="55" spans="1:5" x14ac:dyDescent="0.25">
      <c r="A55" s="11" t="str">
        <f>A47</f>
        <v>Admitted</v>
      </c>
      <c r="B55" s="11">
        <f>B47</f>
        <v>239</v>
      </c>
      <c r="C55" s="12">
        <f>C47</f>
        <v>0.48478701825557807</v>
      </c>
      <c r="D55" s="6"/>
    </row>
    <row r="57" spans="1:5" x14ac:dyDescent="0.25">
      <c r="A57" t="s">
        <v>19</v>
      </c>
    </row>
    <row r="60" spans="1:5" x14ac:dyDescent="0.25">
      <c r="A60" t="s">
        <v>21</v>
      </c>
    </row>
    <row r="64" spans="1:5" x14ac:dyDescent="0.25">
      <c r="D64" s="4" t="s">
        <v>4</v>
      </c>
      <c r="E64" t="s">
        <v>20</v>
      </c>
    </row>
    <row r="65" spans="1:6" x14ac:dyDescent="0.25">
      <c r="D65" s="5" t="s">
        <v>34</v>
      </c>
      <c r="E65" s="7">
        <v>52</v>
      </c>
    </row>
    <row r="66" spans="1:6" x14ac:dyDescent="0.25">
      <c r="D66" s="5" t="s">
        <v>35</v>
      </c>
      <c r="E66" s="7">
        <v>65</v>
      </c>
    </row>
    <row r="67" spans="1:6" x14ac:dyDescent="0.25">
      <c r="A67" s="5" t="s">
        <v>24</v>
      </c>
      <c r="D67" s="5" t="s">
        <v>36</v>
      </c>
      <c r="E67" s="7">
        <v>64</v>
      </c>
    </row>
    <row r="68" spans="1:6" x14ac:dyDescent="0.25">
      <c r="A68" s="4" t="s">
        <v>4</v>
      </c>
      <c r="B68" t="s">
        <v>20</v>
      </c>
      <c r="D68" s="5" t="s">
        <v>37</v>
      </c>
      <c r="E68" s="7">
        <v>57</v>
      </c>
    </row>
    <row r="69" spans="1:6" x14ac:dyDescent="0.25">
      <c r="A69" s="5" t="s">
        <v>22</v>
      </c>
      <c r="B69" s="7">
        <v>248</v>
      </c>
      <c r="D69" s="5" t="s">
        <v>38</v>
      </c>
      <c r="E69" s="7">
        <v>71</v>
      </c>
    </row>
    <row r="70" spans="1:6" x14ac:dyDescent="0.25">
      <c r="A70" s="5" t="s">
        <v>23</v>
      </c>
      <c r="B70" s="7">
        <v>245</v>
      </c>
      <c r="D70" s="5" t="s">
        <v>39</v>
      </c>
      <c r="E70" s="7">
        <v>59</v>
      </c>
    </row>
    <row r="71" spans="1:6" x14ac:dyDescent="0.25">
      <c r="A71" s="5" t="s">
        <v>5</v>
      </c>
      <c r="B71" s="7">
        <v>493</v>
      </c>
      <c r="D71" s="5" t="s">
        <v>40</v>
      </c>
      <c r="E71" s="7">
        <v>93</v>
      </c>
    </row>
    <row r="72" spans="1:6" x14ac:dyDescent="0.25">
      <c r="D72" s="5" t="s">
        <v>41</v>
      </c>
      <c r="E72" s="7">
        <v>32</v>
      </c>
    </row>
    <row r="73" spans="1:6" x14ac:dyDescent="0.25">
      <c r="D73" s="5" t="s">
        <v>5</v>
      </c>
      <c r="E73" s="7">
        <v>493</v>
      </c>
    </row>
    <row r="75" spans="1:6" x14ac:dyDescent="0.25">
      <c r="A75" s="4" t="s">
        <v>4</v>
      </c>
      <c r="B75" t="s">
        <v>33</v>
      </c>
    </row>
    <row r="76" spans="1:6" x14ac:dyDescent="0.25">
      <c r="A76" s="5" t="s">
        <v>26</v>
      </c>
      <c r="B76" s="7">
        <v>9</v>
      </c>
    </row>
    <row r="77" spans="1:6" x14ac:dyDescent="0.25">
      <c r="A77" s="5" t="s">
        <v>32</v>
      </c>
      <c r="B77" s="7">
        <v>9</v>
      </c>
    </row>
    <row r="78" spans="1:6" x14ac:dyDescent="0.25">
      <c r="A78" s="5" t="s">
        <v>25</v>
      </c>
      <c r="B78" s="7">
        <v>10</v>
      </c>
      <c r="E78" s="4" t="s">
        <v>4</v>
      </c>
      <c r="F78" t="s">
        <v>20</v>
      </c>
    </row>
    <row r="79" spans="1:6" x14ac:dyDescent="0.25">
      <c r="A79" s="5" t="s">
        <v>28</v>
      </c>
      <c r="B79" s="7">
        <v>11</v>
      </c>
      <c r="E79" s="5" t="s">
        <v>11</v>
      </c>
      <c r="F79" s="7">
        <v>281</v>
      </c>
    </row>
    <row r="80" spans="1:6" x14ac:dyDescent="0.25">
      <c r="A80" s="5" t="s">
        <v>31</v>
      </c>
      <c r="B80" s="7">
        <v>15</v>
      </c>
      <c r="E80" s="5" t="s">
        <v>13</v>
      </c>
      <c r="F80" s="7">
        <v>212</v>
      </c>
    </row>
    <row r="81" spans="1:6" x14ac:dyDescent="0.25">
      <c r="A81" s="5" t="s">
        <v>30</v>
      </c>
      <c r="B81" s="7">
        <v>61</v>
      </c>
      <c r="E81" s="5" t="s">
        <v>5</v>
      </c>
      <c r="F81" s="7">
        <v>493</v>
      </c>
    </row>
    <row r="82" spans="1:6" x14ac:dyDescent="0.25">
      <c r="A82" s="5" t="s">
        <v>27</v>
      </c>
      <c r="B82" s="7">
        <v>96</v>
      </c>
    </row>
    <row r="83" spans="1:6" x14ac:dyDescent="0.25">
      <c r="A83" s="5" t="s">
        <v>29</v>
      </c>
      <c r="B83" s="7">
        <v>282</v>
      </c>
    </row>
    <row r="84" spans="1:6" x14ac:dyDescent="0.25">
      <c r="A84" s="5" t="s">
        <v>5</v>
      </c>
      <c r="B84" s="7">
        <v>493</v>
      </c>
    </row>
    <row r="90" spans="1:6" x14ac:dyDescent="0.25">
      <c r="A90" s="4" t="s">
        <v>4</v>
      </c>
    </row>
    <row r="91" spans="1:6" x14ac:dyDescent="0.25">
      <c r="A91" s="5" t="s">
        <v>42</v>
      </c>
    </row>
    <row r="92" spans="1:6" x14ac:dyDescent="0.25">
      <c r="A92" s="5"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1F81-266F-4002-BCF3-0E6BD6F89932}">
  <dimension ref="A1:R32"/>
  <sheetViews>
    <sheetView zoomScale="87" zoomScaleNormal="87" workbookViewId="0"/>
  </sheetViews>
  <sheetFormatPr defaultRowHeight="15" x14ac:dyDescent="0.25"/>
  <sheetData>
    <row r="1" spans="1:18" x14ac:dyDescent="0.25">
      <c r="A1" s="6"/>
      <c r="B1" s="6"/>
      <c r="C1" s="6"/>
      <c r="D1" s="6"/>
      <c r="E1" s="6"/>
      <c r="F1" s="6"/>
      <c r="G1" s="6"/>
      <c r="H1" s="6"/>
      <c r="I1" s="6"/>
      <c r="J1" s="6"/>
      <c r="K1" s="6"/>
      <c r="L1" s="6"/>
      <c r="M1" s="6"/>
      <c r="N1" s="6"/>
      <c r="O1" s="6"/>
      <c r="P1" s="6"/>
      <c r="Q1" s="6"/>
      <c r="R1" s="6"/>
    </row>
    <row r="2" spans="1:18" x14ac:dyDescent="0.25">
      <c r="A2" s="6"/>
      <c r="B2" s="6"/>
      <c r="C2" s="6"/>
      <c r="D2" s="6"/>
      <c r="E2" s="6"/>
      <c r="F2" s="6"/>
      <c r="G2" s="6"/>
      <c r="H2" s="6"/>
      <c r="I2" s="6"/>
      <c r="J2" s="6"/>
      <c r="K2" s="6"/>
      <c r="L2" s="6"/>
      <c r="M2" s="6"/>
      <c r="N2" s="6"/>
      <c r="O2" s="6"/>
      <c r="P2" s="6"/>
      <c r="Q2" s="6"/>
      <c r="R2" s="6"/>
    </row>
    <row r="3" spans="1:18" x14ac:dyDescent="0.25">
      <c r="A3" s="6"/>
      <c r="B3" s="6"/>
      <c r="C3" s="6"/>
      <c r="D3" s="6"/>
      <c r="E3" s="6"/>
      <c r="F3" s="6"/>
      <c r="G3" s="6"/>
      <c r="H3" s="6"/>
      <c r="I3" s="6"/>
      <c r="J3" s="6"/>
      <c r="K3" s="6"/>
      <c r="L3" s="6"/>
      <c r="M3" s="6"/>
      <c r="N3" s="6"/>
      <c r="O3" s="6"/>
      <c r="P3" s="6"/>
      <c r="Q3" s="6"/>
      <c r="R3" s="6"/>
    </row>
    <row r="4" spans="1:18" x14ac:dyDescent="0.25">
      <c r="A4" s="6"/>
      <c r="B4" s="6"/>
      <c r="C4" s="6"/>
      <c r="D4" s="6"/>
      <c r="E4" s="6"/>
      <c r="F4" s="6"/>
      <c r="G4" s="6"/>
      <c r="H4" s="6"/>
      <c r="I4" s="6"/>
      <c r="J4" s="6"/>
      <c r="K4" s="6"/>
      <c r="L4" s="6"/>
      <c r="M4" s="6"/>
      <c r="N4" s="6"/>
      <c r="O4" s="6"/>
      <c r="P4" s="6"/>
      <c r="Q4" s="6"/>
      <c r="R4" s="6"/>
    </row>
    <row r="5" spans="1:18" x14ac:dyDescent="0.25">
      <c r="A5" s="6"/>
      <c r="B5" s="6"/>
      <c r="C5" s="6"/>
      <c r="D5" s="6"/>
      <c r="E5" s="6"/>
      <c r="F5" s="6"/>
      <c r="G5" s="6"/>
      <c r="H5" s="6"/>
      <c r="I5" s="6"/>
      <c r="J5" s="6"/>
      <c r="K5" s="6"/>
      <c r="L5" s="6"/>
      <c r="M5" s="6"/>
      <c r="N5" s="6"/>
      <c r="O5" s="6"/>
      <c r="P5" s="6"/>
      <c r="Q5" s="6"/>
      <c r="R5" s="6"/>
    </row>
    <row r="6" spans="1:18" x14ac:dyDescent="0.25">
      <c r="A6" s="6"/>
      <c r="B6" s="6"/>
      <c r="C6" s="6"/>
      <c r="D6" s="6"/>
      <c r="E6" s="6"/>
      <c r="F6" s="6"/>
      <c r="G6" s="6"/>
      <c r="H6" s="6"/>
      <c r="I6" s="6"/>
      <c r="J6" s="6"/>
      <c r="K6" s="6"/>
      <c r="L6" s="6"/>
      <c r="M6" s="6"/>
      <c r="N6" s="6"/>
      <c r="O6" s="6"/>
      <c r="P6" s="6"/>
      <c r="Q6" s="6"/>
      <c r="R6" s="6"/>
    </row>
    <row r="7" spans="1:18" x14ac:dyDescent="0.25">
      <c r="A7" s="6"/>
      <c r="B7" s="6"/>
      <c r="C7" s="6"/>
      <c r="D7" s="6"/>
      <c r="E7" s="6"/>
      <c r="F7" s="6"/>
      <c r="G7" s="6"/>
      <c r="H7" s="6"/>
      <c r="I7" s="6"/>
      <c r="J7" s="6"/>
      <c r="K7" s="6"/>
      <c r="L7" s="6"/>
      <c r="M7" s="6"/>
      <c r="N7" s="6"/>
      <c r="O7" s="6"/>
      <c r="P7" s="6"/>
      <c r="Q7" s="6"/>
      <c r="R7" s="6"/>
    </row>
    <row r="8" spans="1:18" x14ac:dyDescent="0.25">
      <c r="A8" s="6"/>
      <c r="B8" s="6"/>
      <c r="C8" s="6"/>
      <c r="D8" s="6"/>
      <c r="E8" s="6"/>
      <c r="F8" s="6"/>
      <c r="G8" s="6"/>
      <c r="H8" s="6"/>
      <c r="I8" s="6"/>
      <c r="J8" s="6"/>
      <c r="K8" s="6"/>
      <c r="L8" s="6"/>
      <c r="M8" s="6"/>
      <c r="N8" s="6"/>
      <c r="O8" s="6"/>
      <c r="P8" s="6"/>
      <c r="Q8" s="6"/>
      <c r="R8" s="6"/>
    </row>
    <row r="9" spans="1:18" x14ac:dyDescent="0.25">
      <c r="A9" s="6"/>
      <c r="B9" s="6"/>
      <c r="C9" s="6"/>
      <c r="D9" s="6"/>
      <c r="E9" s="6"/>
      <c r="F9" s="6"/>
      <c r="G9" s="6"/>
      <c r="H9" s="6"/>
      <c r="I9" s="6"/>
      <c r="J9" s="6"/>
      <c r="K9" s="6"/>
      <c r="L9" s="6"/>
      <c r="M9" s="6"/>
      <c r="N9" s="6"/>
      <c r="O9" s="6"/>
      <c r="P9" s="6"/>
      <c r="Q9" s="6"/>
      <c r="R9" s="6"/>
    </row>
    <row r="10" spans="1:18" x14ac:dyDescent="0.25">
      <c r="A10" s="6"/>
      <c r="B10" s="6"/>
      <c r="C10" s="6"/>
      <c r="D10" s="6"/>
      <c r="E10" s="6"/>
      <c r="F10" s="6"/>
      <c r="G10" s="6"/>
      <c r="H10" s="6"/>
      <c r="I10" s="6"/>
      <c r="J10" s="6"/>
      <c r="K10" s="6"/>
      <c r="L10" s="6"/>
      <c r="M10" s="6"/>
      <c r="N10" s="6"/>
      <c r="O10" s="6"/>
      <c r="P10" s="6"/>
      <c r="Q10" s="6"/>
      <c r="R10" s="6"/>
    </row>
    <row r="11" spans="1:18" x14ac:dyDescent="0.25">
      <c r="A11" s="6"/>
      <c r="B11" s="6"/>
      <c r="C11" s="6"/>
      <c r="D11" s="6"/>
      <c r="E11" s="6"/>
      <c r="F11" s="6"/>
      <c r="G11" s="6"/>
      <c r="H11" s="6"/>
      <c r="I11" s="6"/>
      <c r="J11" s="6"/>
      <c r="K11" s="6"/>
      <c r="L11" s="6"/>
      <c r="M11" s="6"/>
      <c r="N11" s="6"/>
      <c r="O11" s="6"/>
      <c r="P11" s="6"/>
      <c r="Q11" s="6"/>
      <c r="R11" s="6"/>
    </row>
    <row r="12" spans="1:18" x14ac:dyDescent="0.25">
      <c r="A12" s="6"/>
      <c r="B12" s="6"/>
      <c r="C12" s="6"/>
      <c r="D12" s="6"/>
      <c r="E12" s="6"/>
      <c r="F12" s="6"/>
      <c r="G12" s="6"/>
      <c r="H12" s="6"/>
      <c r="I12" s="6"/>
      <c r="J12" s="6"/>
      <c r="K12" s="6"/>
      <c r="L12" s="6"/>
      <c r="M12" s="6"/>
      <c r="N12" s="6"/>
      <c r="O12" s="6"/>
      <c r="P12" s="6"/>
      <c r="Q12" s="6"/>
      <c r="R12" s="6"/>
    </row>
    <row r="13" spans="1:18" x14ac:dyDescent="0.25">
      <c r="A13" s="6"/>
      <c r="B13" s="6"/>
      <c r="C13" s="6"/>
      <c r="D13" s="6"/>
      <c r="E13" s="6"/>
      <c r="F13" s="6"/>
      <c r="G13" s="6"/>
      <c r="H13" s="6"/>
      <c r="I13" s="6"/>
      <c r="J13" s="6"/>
      <c r="K13" s="6"/>
      <c r="L13" s="6"/>
      <c r="M13" s="6"/>
      <c r="N13" s="6"/>
      <c r="O13" s="6"/>
      <c r="P13" s="6"/>
      <c r="Q13" s="6"/>
      <c r="R13" s="6"/>
    </row>
    <row r="14" spans="1:18" x14ac:dyDescent="0.25">
      <c r="A14" s="6"/>
      <c r="B14" s="6"/>
      <c r="C14" s="6"/>
      <c r="D14" s="6"/>
      <c r="E14" s="6"/>
      <c r="F14" s="6"/>
      <c r="G14" s="6"/>
      <c r="H14" s="6"/>
      <c r="I14" s="6"/>
      <c r="J14" s="6"/>
      <c r="K14" s="6"/>
      <c r="L14" s="6"/>
      <c r="M14" s="6"/>
      <c r="N14" s="6"/>
      <c r="O14" s="6"/>
      <c r="P14" s="6"/>
      <c r="Q14" s="6"/>
      <c r="R14" s="6"/>
    </row>
    <row r="15" spans="1:18" x14ac:dyDescent="0.25">
      <c r="A15" s="6"/>
      <c r="B15" s="6"/>
      <c r="C15" s="6"/>
      <c r="D15" s="6"/>
      <c r="E15" s="6"/>
      <c r="F15" s="6"/>
      <c r="G15" s="6"/>
      <c r="H15" s="6"/>
      <c r="I15" s="6"/>
      <c r="J15" s="6"/>
      <c r="K15" s="6"/>
      <c r="L15" s="6"/>
      <c r="M15" s="6"/>
      <c r="N15" s="6"/>
      <c r="O15" s="6"/>
      <c r="P15" s="6"/>
      <c r="Q15" s="6"/>
      <c r="R15" s="6"/>
    </row>
    <row r="16" spans="1:18" x14ac:dyDescent="0.25">
      <c r="A16" s="6"/>
      <c r="B16" s="6"/>
      <c r="C16" s="6"/>
      <c r="D16" s="6"/>
      <c r="E16" s="6"/>
      <c r="F16" s="6"/>
      <c r="G16" s="6"/>
      <c r="H16" s="6"/>
      <c r="I16" s="6"/>
      <c r="J16" s="6"/>
      <c r="K16" s="6"/>
      <c r="L16" s="6"/>
      <c r="M16" s="6"/>
      <c r="N16" s="6"/>
      <c r="O16" s="6"/>
      <c r="P16" s="6"/>
      <c r="Q16" s="6"/>
      <c r="R16" s="6"/>
    </row>
    <row r="17" spans="1:18" x14ac:dyDescent="0.25">
      <c r="A17" s="6"/>
      <c r="B17" s="6"/>
      <c r="C17" s="6"/>
      <c r="D17" s="6"/>
      <c r="E17" s="6"/>
      <c r="F17" s="6"/>
      <c r="G17" s="6"/>
      <c r="H17" s="6"/>
      <c r="I17" s="6"/>
      <c r="J17" s="6"/>
      <c r="K17" s="6"/>
      <c r="L17" s="6"/>
      <c r="M17" s="6"/>
      <c r="N17" s="6"/>
      <c r="O17" s="6"/>
      <c r="P17" s="6"/>
      <c r="Q17" s="6"/>
      <c r="R17" s="6"/>
    </row>
    <row r="18" spans="1:18" x14ac:dyDescent="0.25">
      <c r="A18" s="6"/>
      <c r="B18" s="6"/>
      <c r="C18" s="6"/>
      <c r="D18" s="6"/>
      <c r="E18" s="6"/>
      <c r="F18" s="6"/>
      <c r="G18" s="6"/>
      <c r="H18" s="6"/>
      <c r="I18" s="6"/>
      <c r="J18" s="6"/>
      <c r="K18" s="6"/>
      <c r="L18" s="6"/>
      <c r="M18" s="6"/>
      <c r="N18" s="6"/>
      <c r="O18" s="6"/>
      <c r="P18" s="6"/>
      <c r="Q18" s="6"/>
      <c r="R18" s="6"/>
    </row>
    <row r="19" spans="1:18" x14ac:dyDescent="0.25">
      <c r="A19" s="6"/>
      <c r="B19" s="6"/>
      <c r="C19" s="6"/>
      <c r="D19" s="6"/>
      <c r="E19" s="6"/>
      <c r="F19" s="6"/>
      <c r="G19" s="6"/>
      <c r="H19" s="6"/>
      <c r="I19" s="6"/>
      <c r="J19" s="6"/>
      <c r="K19" s="6"/>
      <c r="L19" s="6"/>
      <c r="M19" s="6"/>
      <c r="N19" s="6"/>
      <c r="O19" s="6"/>
      <c r="P19" s="6"/>
      <c r="Q19" s="6"/>
      <c r="R19" s="6"/>
    </row>
    <row r="20" spans="1:18" x14ac:dyDescent="0.25">
      <c r="A20" s="6"/>
      <c r="B20" s="6"/>
      <c r="C20" s="6"/>
      <c r="D20" s="6"/>
      <c r="E20" s="6"/>
      <c r="F20" s="6"/>
      <c r="G20" s="6"/>
      <c r="H20" s="6"/>
      <c r="I20" s="6"/>
      <c r="J20" s="6"/>
      <c r="K20" s="6"/>
      <c r="L20" s="6"/>
      <c r="M20" s="6"/>
      <c r="N20" s="6"/>
      <c r="O20" s="6"/>
      <c r="P20" s="6"/>
      <c r="Q20" s="6"/>
      <c r="R20" s="6"/>
    </row>
    <row r="21" spans="1:18" x14ac:dyDescent="0.25">
      <c r="A21" s="6"/>
      <c r="B21" s="6"/>
      <c r="C21" s="6"/>
      <c r="D21" s="6"/>
      <c r="E21" s="6"/>
      <c r="F21" s="6"/>
      <c r="G21" s="6"/>
      <c r="H21" s="6"/>
      <c r="I21" s="6"/>
      <c r="J21" s="6"/>
      <c r="K21" s="6"/>
      <c r="L21" s="6"/>
      <c r="M21" s="6"/>
      <c r="N21" s="6"/>
      <c r="O21" s="6"/>
      <c r="P21" s="6"/>
      <c r="Q21" s="6"/>
      <c r="R21" s="6"/>
    </row>
    <row r="22" spans="1:18" x14ac:dyDescent="0.25">
      <c r="A22" s="6"/>
      <c r="B22" s="6"/>
      <c r="C22" s="6"/>
      <c r="D22" s="6"/>
      <c r="E22" s="6"/>
      <c r="F22" s="6"/>
      <c r="G22" s="6"/>
      <c r="H22" s="6"/>
      <c r="I22" s="6"/>
      <c r="J22" s="6"/>
      <c r="K22" s="6"/>
      <c r="L22" s="6"/>
      <c r="M22" s="6"/>
      <c r="N22" s="6"/>
      <c r="O22" s="6"/>
      <c r="P22" s="6"/>
      <c r="Q22" s="6"/>
      <c r="R22" s="6"/>
    </row>
    <row r="23" spans="1:18" x14ac:dyDescent="0.25">
      <c r="A23" s="6"/>
      <c r="B23" s="6"/>
      <c r="C23" s="6"/>
      <c r="D23" s="6"/>
      <c r="E23" s="6"/>
      <c r="F23" s="6"/>
      <c r="G23" s="6"/>
      <c r="H23" s="6"/>
      <c r="I23" s="6"/>
      <c r="J23" s="6"/>
      <c r="K23" s="6"/>
      <c r="L23" s="6"/>
      <c r="M23" s="6"/>
      <c r="N23" s="6"/>
      <c r="O23" s="6"/>
      <c r="P23" s="6"/>
      <c r="Q23" s="6"/>
      <c r="R23" s="6"/>
    </row>
    <row r="24" spans="1:18" x14ac:dyDescent="0.25">
      <c r="A24" s="6"/>
      <c r="B24" s="6"/>
      <c r="C24" s="6"/>
      <c r="D24" s="6"/>
      <c r="E24" s="6"/>
      <c r="F24" s="6"/>
      <c r="G24" s="6"/>
      <c r="H24" s="6"/>
      <c r="I24" s="6"/>
      <c r="J24" s="6"/>
      <c r="K24" s="6"/>
      <c r="L24" s="6"/>
      <c r="M24" s="6"/>
      <c r="N24" s="6"/>
      <c r="O24" s="6"/>
      <c r="P24" s="6"/>
      <c r="Q24" s="6"/>
      <c r="R24" s="6"/>
    </row>
    <row r="25" spans="1:18" x14ac:dyDescent="0.25">
      <c r="A25" s="6"/>
      <c r="B25" s="6"/>
      <c r="C25" s="6"/>
      <c r="D25" s="6"/>
      <c r="E25" s="6"/>
      <c r="F25" s="6"/>
      <c r="G25" s="6"/>
      <c r="H25" s="6"/>
      <c r="I25" s="6"/>
      <c r="J25" s="6"/>
      <c r="K25" s="6"/>
      <c r="L25" s="6"/>
      <c r="M25" s="6"/>
      <c r="N25" s="6"/>
      <c r="O25" s="6"/>
      <c r="P25" s="6"/>
      <c r="Q25" s="6"/>
      <c r="R25" s="6"/>
    </row>
    <row r="26" spans="1:18" x14ac:dyDescent="0.25">
      <c r="A26" s="6"/>
      <c r="B26" s="6"/>
      <c r="C26" s="6"/>
      <c r="D26" s="6"/>
      <c r="E26" s="6"/>
      <c r="F26" s="6"/>
      <c r="G26" s="6"/>
      <c r="H26" s="6"/>
      <c r="I26" s="6"/>
      <c r="J26" s="6"/>
      <c r="K26" s="6"/>
      <c r="L26" s="6"/>
      <c r="M26" s="6"/>
      <c r="N26" s="6"/>
      <c r="O26" s="6"/>
      <c r="P26" s="6"/>
      <c r="Q26" s="6"/>
      <c r="R26" s="6"/>
    </row>
    <row r="27" spans="1:18" x14ac:dyDescent="0.25">
      <c r="A27" s="6"/>
      <c r="B27" s="6"/>
      <c r="C27" s="6"/>
      <c r="D27" s="6"/>
      <c r="E27" s="6"/>
      <c r="F27" s="6"/>
      <c r="G27" s="6"/>
      <c r="H27" s="6"/>
      <c r="I27" s="6"/>
      <c r="J27" s="6"/>
      <c r="K27" s="6"/>
      <c r="L27" s="6"/>
      <c r="M27" s="6"/>
      <c r="N27" s="6"/>
      <c r="O27" s="6"/>
      <c r="P27" s="6"/>
      <c r="Q27" s="6"/>
      <c r="R27" s="6"/>
    </row>
    <row r="28" spans="1:18" x14ac:dyDescent="0.25">
      <c r="A28" s="6"/>
      <c r="B28" s="6"/>
      <c r="C28" s="6"/>
      <c r="D28" s="6"/>
      <c r="E28" s="6"/>
      <c r="F28" s="6"/>
      <c r="G28" s="6"/>
      <c r="H28" s="6"/>
      <c r="I28" s="6"/>
      <c r="J28" s="6"/>
      <c r="K28" s="6"/>
      <c r="L28" s="6"/>
      <c r="M28" s="6"/>
      <c r="N28" s="6"/>
      <c r="O28" s="6"/>
      <c r="P28" s="6"/>
      <c r="Q28" s="6"/>
      <c r="R28" s="6"/>
    </row>
    <row r="29" spans="1:18" x14ac:dyDescent="0.25">
      <c r="A29" s="6"/>
      <c r="B29" s="6"/>
      <c r="C29" s="6"/>
      <c r="D29" s="6"/>
      <c r="E29" s="6"/>
      <c r="F29" s="6"/>
      <c r="G29" s="6"/>
      <c r="H29" s="6"/>
      <c r="I29" s="6"/>
      <c r="J29" s="6"/>
      <c r="K29" s="6"/>
      <c r="L29" s="6"/>
      <c r="M29" s="6"/>
      <c r="N29" s="6"/>
      <c r="O29" s="6"/>
      <c r="P29" s="6"/>
      <c r="Q29" s="6"/>
      <c r="R29" s="6"/>
    </row>
    <row r="30" spans="1:18" x14ac:dyDescent="0.25">
      <c r="A30" s="6"/>
      <c r="B30" s="6"/>
      <c r="C30" s="6"/>
      <c r="D30" s="6"/>
      <c r="E30" s="6"/>
      <c r="F30" s="6"/>
      <c r="G30" s="6"/>
      <c r="H30" s="6"/>
      <c r="I30" s="6"/>
      <c r="J30" s="6"/>
      <c r="K30" s="6"/>
      <c r="L30" s="6"/>
      <c r="M30" s="6"/>
      <c r="N30" s="6"/>
      <c r="O30" s="6"/>
      <c r="P30" s="6"/>
      <c r="Q30" s="6"/>
      <c r="R30" s="6"/>
    </row>
    <row r="31" spans="1:18" x14ac:dyDescent="0.25">
      <c r="A31" s="6"/>
      <c r="B31" s="6"/>
      <c r="C31" s="6"/>
      <c r="D31" s="6"/>
      <c r="E31" s="6"/>
      <c r="F31" s="6"/>
      <c r="G31" s="6"/>
      <c r="H31" s="6"/>
      <c r="I31" s="6"/>
      <c r="J31" s="6"/>
      <c r="K31" s="6"/>
      <c r="L31" s="6"/>
      <c r="M31" s="6"/>
      <c r="N31" s="6"/>
      <c r="O31" s="6"/>
      <c r="P31" s="6"/>
      <c r="Q31" s="6"/>
      <c r="R31" s="6"/>
    </row>
    <row r="32" spans="1:18" x14ac:dyDescent="0.25">
      <c r="A32" s="6"/>
      <c r="B32" s="6"/>
      <c r="C32" s="6"/>
      <c r="D32" s="6"/>
      <c r="E32" s="6"/>
      <c r="F32" s="6"/>
      <c r="G32" s="6"/>
      <c r="H32" s="6"/>
      <c r="I32" s="6"/>
      <c r="J32" s="6"/>
      <c r="K32" s="6"/>
      <c r="L32" s="6"/>
      <c r="M32" s="6"/>
      <c r="N32" s="6"/>
      <c r="O32" s="6"/>
      <c r="P32" s="6"/>
      <c r="Q32" s="6"/>
      <c r="R32"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D2F5-509D-469B-AB67-39415DFD61AD}">
  <dimension ref="A1:Q23"/>
  <sheetViews>
    <sheetView zoomScaleNormal="100" workbookViewId="0"/>
  </sheetViews>
  <sheetFormatPr defaultRowHeight="15" x14ac:dyDescent="0.25"/>
  <cols>
    <col min="14" max="17" width="9.140625" style="6"/>
  </cols>
  <sheetData>
    <row r="1" spans="1:13" x14ac:dyDescent="0.25">
      <c r="A1" s="6"/>
      <c r="B1" s="6"/>
      <c r="C1" s="6"/>
      <c r="D1" s="6"/>
      <c r="E1" s="6"/>
      <c r="F1" s="6"/>
      <c r="G1" s="6"/>
      <c r="H1" s="6"/>
      <c r="I1" s="6"/>
      <c r="J1" s="6"/>
      <c r="K1" s="6"/>
      <c r="L1" s="6"/>
      <c r="M1" s="6"/>
    </row>
    <row r="2" spans="1:13" x14ac:dyDescent="0.25">
      <c r="A2" s="6"/>
      <c r="B2" s="6"/>
      <c r="C2" s="6"/>
      <c r="D2" s="6"/>
      <c r="E2" s="6"/>
      <c r="F2" s="6"/>
      <c r="G2" s="6"/>
      <c r="H2" s="6"/>
      <c r="I2" s="6"/>
      <c r="J2" s="6"/>
      <c r="K2" s="6"/>
      <c r="L2" s="6"/>
      <c r="M2" s="6"/>
    </row>
    <row r="3" spans="1:13" x14ac:dyDescent="0.25">
      <c r="A3" s="6"/>
      <c r="B3" s="6"/>
      <c r="C3" s="6"/>
      <c r="D3" s="6"/>
      <c r="E3" s="6"/>
      <c r="F3" s="6"/>
      <c r="G3" s="6"/>
      <c r="H3" s="6"/>
      <c r="I3" s="6"/>
      <c r="J3" s="6"/>
      <c r="K3" s="6"/>
      <c r="L3" s="6"/>
      <c r="M3" s="6"/>
    </row>
    <row r="4" spans="1:13" x14ac:dyDescent="0.25">
      <c r="A4" s="6"/>
      <c r="B4" s="6"/>
      <c r="C4" s="6"/>
      <c r="D4" s="6"/>
      <c r="E4" s="6"/>
      <c r="F4" s="6"/>
      <c r="G4" s="6"/>
      <c r="H4" s="6"/>
      <c r="I4" s="6"/>
      <c r="J4" s="6"/>
      <c r="K4" s="6"/>
      <c r="L4" s="6"/>
      <c r="M4" s="6"/>
    </row>
    <row r="5" spans="1:13" x14ac:dyDescent="0.25">
      <c r="A5" s="6"/>
      <c r="B5" s="6"/>
      <c r="C5" s="6"/>
      <c r="D5" s="6"/>
      <c r="E5" s="6"/>
      <c r="F5" s="6"/>
      <c r="G5" s="6"/>
      <c r="H5" s="6"/>
      <c r="I5" s="6"/>
      <c r="J5" s="6"/>
      <c r="K5" s="6"/>
      <c r="L5" s="6"/>
      <c r="M5" s="6"/>
    </row>
    <row r="6" spans="1:13" x14ac:dyDescent="0.25">
      <c r="A6" s="6"/>
      <c r="B6" s="6"/>
      <c r="C6" s="6"/>
      <c r="D6" s="6"/>
      <c r="E6" s="6"/>
      <c r="F6" s="6"/>
      <c r="G6" s="6"/>
      <c r="H6" s="6"/>
      <c r="I6" s="6"/>
      <c r="J6" s="6"/>
      <c r="K6" s="6"/>
      <c r="L6" s="6"/>
      <c r="M6" s="6"/>
    </row>
    <row r="7" spans="1:13" x14ac:dyDescent="0.25">
      <c r="A7" s="6"/>
      <c r="B7" s="6"/>
      <c r="C7" s="6"/>
      <c r="D7" s="6"/>
      <c r="E7" s="6"/>
      <c r="F7" s="6"/>
      <c r="G7" s="6"/>
      <c r="H7" s="6"/>
      <c r="I7" s="6"/>
      <c r="J7" s="6"/>
      <c r="K7" s="6"/>
      <c r="L7" s="6"/>
      <c r="M7" s="6"/>
    </row>
    <row r="8" spans="1:13" x14ac:dyDescent="0.25">
      <c r="A8" s="6"/>
      <c r="B8" s="6"/>
      <c r="C8" s="6"/>
      <c r="D8" s="6"/>
      <c r="E8" s="6"/>
      <c r="F8" s="6"/>
      <c r="G8" s="6"/>
      <c r="H8" s="6"/>
      <c r="I8" s="6"/>
      <c r="J8" s="6"/>
      <c r="K8" s="6"/>
      <c r="L8" s="6"/>
      <c r="M8" s="6"/>
    </row>
    <row r="9" spans="1:13" x14ac:dyDescent="0.25">
      <c r="A9" s="6"/>
      <c r="B9" s="6"/>
      <c r="C9" s="6"/>
      <c r="D9" s="6"/>
      <c r="E9" s="6"/>
      <c r="F9" s="6"/>
      <c r="G9" s="6"/>
      <c r="H9" s="6"/>
      <c r="I9" s="6"/>
      <c r="J9" s="6"/>
      <c r="K9" s="6"/>
      <c r="L9" s="6"/>
      <c r="M9" s="6"/>
    </row>
    <row r="10" spans="1:13" x14ac:dyDescent="0.25">
      <c r="A10" s="6"/>
      <c r="B10" s="6"/>
      <c r="C10" s="6"/>
      <c r="D10" s="6"/>
      <c r="E10" s="6"/>
      <c r="F10" s="6"/>
      <c r="G10" s="6"/>
      <c r="H10" s="6"/>
      <c r="I10" s="6"/>
      <c r="J10" s="6"/>
      <c r="K10" s="6"/>
      <c r="L10" s="6"/>
      <c r="M10" s="6"/>
    </row>
    <row r="11" spans="1:13" x14ac:dyDescent="0.25">
      <c r="A11" s="6"/>
      <c r="B11" s="6"/>
      <c r="C11" s="6"/>
      <c r="D11" s="6"/>
      <c r="E11" s="6"/>
      <c r="F11" s="6"/>
      <c r="G11" s="6"/>
      <c r="H11" s="6"/>
      <c r="I11" s="6"/>
      <c r="J11" s="6"/>
      <c r="K11" s="6"/>
      <c r="L11" s="6"/>
      <c r="M11" s="6"/>
    </row>
    <row r="12" spans="1:13" x14ac:dyDescent="0.25">
      <c r="A12" s="6"/>
      <c r="B12" s="6"/>
      <c r="C12" s="6"/>
      <c r="D12" s="6"/>
      <c r="E12" s="6"/>
      <c r="F12" s="6"/>
      <c r="G12" s="6"/>
      <c r="H12" s="6"/>
      <c r="I12" s="6"/>
      <c r="J12" s="6"/>
      <c r="K12" s="6"/>
      <c r="L12" s="6"/>
      <c r="M12" s="6"/>
    </row>
    <row r="13" spans="1:13" x14ac:dyDescent="0.25">
      <c r="A13" s="6"/>
      <c r="B13" s="6"/>
      <c r="C13" s="6"/>
      <c r="D13" s="6"/>
      <c r="E13" s="6"/>
      <c r="F13" s="6"/>
      <c r="G13" s="6"/>
      <c r="H13" s="6"/>
      <c r="I13" s="6"/>
      <c r="J13" s="6"/>
      <c r="K13" s="6"/>
      <c r="L13" s="6"/>
      <c r="M13" s="6"/>
    </row>
    <row r="14" spans="1:13" x14ac:dyDescent="0.25">
      <c r="A14" s="6"/>
      <c r="B14" s="6"/>
      <c r="C14" s="6"/>
      <c r="D14" s="6"/>
      <c r="E14" s="6"/>
      <c r="F14" s="6"/>
      <c r="G14" s="6"/>
      <c r="H14" s="6"/>
      <c r="I14" s="6"/>
      <c r="J14" s="6"/>
      <c r="K14" s="6"/>
      <c r="L14" s="6"/>
      <c r="M14" s="6"/>
    </row>
    <row r="15" spans="1:13" x14ac:dyDescent="0.25">
      <c r="A15" s="6"/>
      <c r="B15" s="6"/>
      <c r="C15" s="6"/>
      <c r="D15" s="6"/>
      <c r="E15" s="6"/>
      <c r="F15" s="6"/>
      <c r="G15" s="6"/>
      <c r="H15" s="6"/>
      <c r="I15" s="6"/>
      <c r="J15" s="6"/>
      <c r="K15" s="6"/>
      <c r="L15" s="6"/>
      <c r="M15" s="6"/>
    </row>
    <row r="16" spans="1:13" x14ac:dyDescent="0.25">
      <c r="A16" s="6"/>
      <c r="B16" s="6"/>
      <c r="C16" s="6"/>
      <c r="D16" s="6"/>
      <c r="E16" s="6"/>
      <c r="F16" s="6"/>
      <c r="G16" s="6"/>
      <c r="H16" s="6"/>
      <c r="I16" s="6"/>
      <c r="J16" s="6"/>
      <c r="K16" s="6"/>
      <c r="L16" s="6"/>
      <c r="M16" s="6"/>
    </row>
    <row r="17" spans="1:13" x14ac:dyDescent="0.25">
      <c r="A17" s="6"/>
      <c r="B17" s="6"/>
      <c r="C17" s="6"/>
      <c r="D17" s="6"/>
      <c r="E17" s="6"/>
      <c r="F17" s="6"/>
      <c r="G17" s="6"/>
      <c r="H17" s="6"/>
      <c r="I17" s="6"/>
      <c r="J17" s="6"/>
      <c r="K17" s="6"/>
      <c r="L17" s="6"/>
      <c r="M17" s="6"/>
    </row>
    <row r="18" spans="1:13" x14ac:dyDescent="0.25">
      <c r="A18" s="6"/>
      <c r="B18" s="6"/>
      <c r="C18" s="6"/>
      <c r="D18" s="6"/>
      <c r="E18" s="6"/>
      <c r="F18" s="6"/>
      <c r="G18" s="6"/>
      <c r="H18" s="6"/>
      <c r="I18" s="6"/>
      <c r="J18" s="6"/>
      <c r="K18" s="6"/>
      <c r="L18" s="6"/>
      <c r="M18" s="6"/>
    </row>
    <row r="19" spans="1:13" x14ac:dyDescent="0.25">
      <c r="A19" s="6"/>
      <c r="B19" s="6"/>
      <c r="C19" s="6"/>
      <c r="D19" s="6"/>
      <c r="E19" s="6"/>
      <c r="F19" s="6"/>
      <c r="G19" s="6"/>
      <c r="H19" s="6"/>
      <c r="I19" s="6"/>
      <c r="J19" s="6"/>
      <c r="K19" s="6"/>
      <c r="L19" s="6"/>
      <c r="M19" s="6"/>
    </row>
    <row r="20" spans="1:13" x14ac:dyDescent="0.25">
      <c r="A20" s="6"/>
      <c r="B20" s="6"/>
      <c r="C20" s="6"/>
      <c r="D20" s="6"/>
      <c r="E20" s="6"/>
      <c r="F20" s="6"/>
      <c r="G20" s="6"/>
      <c r="H20" s="6"/>
      <c r="I20" s="6"/>
      <c r="J20" s="6"/>
      <c r="K20" s="6"/>
      <c r="L20" s="6"/>
      <c r="M20" s="6"/>
    </row>
    <row r="21" spans="1:13" x14ac:dyDescent="0.25">
      <c r="A21" s="6"/>
      <c r="B21" s="6"/>
      <c r="C21" s="6"/>
      <c r="D21" s="6"/>
      <c r="E21" s="6"/>
      <c r="F21" s="6"/>
      <c r="G21" s="6"/>
      <c r="H21" s="6"/>
      <c r="I21" s="6"/>
      <c r="J21" s="6"/>
      <c r="K21" s="6"/>
      <c r="L21" s="6"/>
      <c r="M21" s="6"/>
    </row>
    <row r="22" spans="1:13" x14ac:dyDescent="0.25">
      <c r="A22" s="6"/>
      <c r="B22" s="6"/>
      <c r="C22" s="6"/>
      <c r="D22" s="6"/>
      <c r="E22" s="6"/>
      <c r="F22" s="6"/>
      <c r="G22" s="6"/>
      <c r="H22" s="6"/>
      <c r="I22" s="6"/>
      <c r="J22" s="6"/>
      <c r="K22" s="6"/>
      <c r="L22" s="6"/>
      <c r="M22" s="6"/>
    </row>
    <row r="23" spans="1:13" x14ac:dyDescent="0.25">
      <c r="A23" s="6"/>
      <c r="B23" s="6"/>
      <c r="C23" s="6"/>
      <c r="D23" s="6"/>
      <c r="E23" s="6"/>
      <c r="F23" s="6"/>
      <c r="G23" s="6"/>
      <c r="H23" s="6"/>
      <c r="I23" s="6"/>
      <c r="J23" s="6"/>
      <c r="K23" s="6"/>
      <c r="L23" s="6"/>
      <c r="M23"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E09B-E081-480D-B2AC-A141763A408C}">
  <dimension ref="A1:P24"/>
  <sheetViews>
    <sheetView zoomScaleNormal="100" workbookViewId="0"/>
  </sheetViews>
  <sheetFormatPr defaultRowHeight="15" x14ac:dyDescent="0.25"/>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row r="19" spans="1:16" x14ac:dyDescent="0.25">
      <c r="A19" s="6"/>
      <c r="B19" s="6"/>
      <c r="C19" s="6"/>
      <c r="D19" s="6"/>
      <c r="E19" s="6"/>
      <c r="F19" s="6"/>
      <c r="G19" s="6"/>
      <c r="H19" s="6"/>
      <c r="I19" s="6"/>
      <c r="J19" s="6"/>
      <c r="K19" s="6"/>
      <c r="L19" s="6"/>
      <c r="M19" s="6"/>
      <c r="N19" s="6"/>
      <c r="O19" s="6"/>
      <c r="P19" s="6"/>
    </row>
    <row r="20" spans="1:16" x14ac:dyDescent="0.25">
      <c r="A20" s="6"/>
      <c r="B20" s="6"/>
      <c r="C20" s="6"/>
      <c r="D20" s="6"/>
      <c r="E20" s="6"/>
      <c r="F20" s="6"/>
      <c r="G20" s="6"/>
      <c r="H20" s="6"/>
      <c r="I20" s="6"/>
      <c r="J20" s="6"/>
      <c r="K20" s="6"/>
      <c r="L20" s="6"/>
      <c r="M20" s="6"/>
      <c r="N20" s="6"/>
      <c r="O20" s="6"/>
      <c r="P20" s="6"/>
    </row>
    <row r="21" spans="1:16" x14ac:dyDescent="0.25">
      <c r="A21" s="6"/>
      <c r="B21" s="6"/>
      <c r="C21" s="6"/>
      <c r="D21" s="6"/>
      <c r="E21" s="6"/>
      <c r="F21" s="6"/>
      <c r="G21" s="6"/>
      <c r="H21" s="6"/>
      <c r="I21" s="6"/>
      <c r="J21" s="6"/>
      <c r="K21" s="6"/>
      <c r="L21" s="6"/>
      <c r="M21" s="6"/>
      <c r="N21" s="6"/>
      <c r="O21" s="6"/>
      <c r="P21" s="6"/>
    </row>
    <row r="22" spans="1:16" x14ac:dyDescent="0.25">
      <c r="A22" s="6"/>
      <c r="B22" s="6"/>
      <c r="C22" s="6"/>
      <c r="D22" s="6"/>
      <c r="E22" s="6"/>
      <c r="F22" s="6"/>
      <c r="G22" s="6"/>
      <c r="H22" s="6"/>
      <c r="I22" s="6"/>
      <c r="J22" s="6"/>
      <c r="K22" s="6"/>
      <c r="L22" s="6"/>
      <c r="M22" s="6"/>
      <c r="N22" s="6"/>
      <c r="O22" s="6"/>
      <c r="P22" s="6"/>
    </row>
    <row r="23" spans="1:16" x14ac:dyDescent="0.25">
      <c r="A23" s="6"/>
      <c r="B23" s="6"/>
      <c r="C23" s="6"/>
      <c r="D23" s="6"/>
      <c r="E23" s="6"/>
      <c r="F23" s="6"/>
      <c r="G23" s="6"/>
      <c r="H23" s="6"/>
      <c r="I23" s="6"/>
      <c r="J23" s="6"/>
      <c r="K23" s="6"/>
      <c r="L23" s="6"/>
      <c r="M23" s="6"/>
      <c r="N23" s="6"/>
      <c r="O23" s="6"/>
      <c r="P23" s="6"/>
    </row>
    <row r="24" spans="1:16" x14ac:dyDescent="0.25">
      <c r="A24" s="6"/>
      <c r="B24" s="6"/>
      <c r="C24" s="6"/>
      <c r="D24" s="6"/>
      <c r="E24" s="6"/>
      <c r="F24" s="6"/>
      <c r="G24" s="6"/>
      <c r="H24" s="6"/>
      <c r="I24" s="6"/>
      <c r="J24" s="6"/>
      <c r="K24" s="6"/>
      <c r="L24" s="6"/>
      <c r="M24" s="6"/>
      <c r="N24" s="6"/>
      <c r="O24" s="6"/>
      <c r="P24"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BB46-E3CA-4A49-B179-CFF86276E47E}">
  <dimension ref="A1:O25"/>
  <sheetViews>
    <sheetView tabSelected="1" zoomScale="106" zoomScaleNormal="106" workbookViewId="0"/>
  </sheetViews>
  <sheetFormatPr defaultRowHeight="15" x14ac:dyDescent="0.25"/>
  <cols>
    <col min="5" max="5" width="9.140625" customWidth="1"/>
    <col min="7" max="7" width="16.7109375" customWidth="1"/>
  </cols>
  <sheetData>
    <row r="1" spans="1:15" x14ac:dyDescent="0.25">
      <c r="A1" s="3"/>
      <c r="B1" s="3"/>
      <c r="C1" s="3"/>
      <c r="D1" s="3"/>
      <c r="E1" s="3"/>
      <c r="F1" s="3"/>
      <c r="G1" s="3"/>
      <c r="H1" s="3"/>
      <c r="I1" s="3"/>
      <c r="J1" s="3"/>
      <c r="K1" s="3"/>
      <c r="L1" s="3"/>
      <c r="M1" s="3"/>
      <c r="N1" s="3"/>
      <c r="O1" s="3"/>
    </row>
    <row r="2" spans="1:15" x14ac:dyDescent="0.25">
      <c r="A2" s="3"/>
      <c r="B2" s="3"/>
      <c r="C2" s="3"/>
      <c r="D2" s="3"/>
      <c r="E2" s="3"/>
      <c r="F2" s="3"/>
      <c r="G2" s="3"/>
      <c r="H2" s="3"/>
      <c r="I2" s="3"/>
      <c r="J2" s="3"/>
      <c r="K2" s="3"/>
      <c r="L2" s="3"/>
      <c r="M2" s="3"/>
      <c r="N2" s="3"/>
      <c r="O2" s="3"/>
    </row>
    <row r="3" spans="1:15" x14ac:dyDescent="0.25">
      <c r="A3" s="3"/>
      <c r="B3" s="3"/>
      <c r="C3" s="3"/>
      <c r="D3" s="3"/>
      <c r="E3" s="3"/>
      <c r="F3" s="3"/>
      <c r="G3" s="3"/>
      <c r="H3" s="3"/>
      <c r="I3" s="3"/>
      <c r="J3" s="3"/>
      <c r="K3" s="3"/>
      <c r="L3" s="3"/>
      <c r="M3" s="3"/>
      <c r="N3" s="3"/>
      <c r="O3" s="3"/>
    </row>
    <row r="4" spans="1:15" x14ac:dyDescent="0.25">
      <c r="A4" s="3"/>
      <c r="B4" s="3"/>
      <c r="C4" s="3"/>
      <c r="D4" s="3"/>
      <c r="E4" s="3"/>
      <c r="F4" s="3"/>
      <c r="G4" s="3"/>
      <c r="H4" s="3"/>
      <c r="I4" s="3"/>
      <c r="J4" s="3"/>
      <c r="K4" s="3"/>
      <c r="L4" s="3"/>
      <c r="M4" s="3"/>
      <c r="N4" s="3"/>
      <c r="O4" s="3"/>
    </row>
    <row r="5" spans="1:15" x14ac:dyDescent="0.25">
      <c r="A5" s="3"/>
      <c r="B5" s="3"/>
      <c r="C5" s="3"/>
      <c r="D5" s="3"/>
      <c r="E5" s="3"/>
      <c r="F5" s="3"/>
      <c r="G5" s="3"/>
      <c r="H5" s="3"/>
      <c r="I5" s="3"/>
      <c r="J5" s="3"/>
      <c r="K5" s="3"/>
      <c r="L5" s="3"/>
      <c r="M5" s="3"/>
      <c r="N5" s="3"/>
      <c r="O5" s="3"/>
    </row>
    <row r="6" spans="1:15" x14ac:dyDescent="0.25">
      <c r="A6" s="3"/>
      <c r="B6" s="3"/>
      <c r="C6" s="3"/>
      <c r="D6" s="3"/>
      <c r="E6" s="3"/>
      <c r="F6" s="3"/>
      <c r="G6" s="3"/>
      <c r="H6" s="3"/>
      <c r="I6" s="3"/>
      <c r="J6" s="3"/>
      <c r="K6" s="3"/>
      <c r="L6" s="3"/>
      <c r="M6" s="3"/>
      <c r="N6" s="3"/>
      <c r="O6" s="3"/>
    </row>
    <row r="7" spans="1:15" x14ac:dyDescent="0.25">
      <c r="A7" s="3"/>
      <c r="B7" s="3"/>
      <c r="C7" s="3"/>
      <c r="D7" s="3"/>
      <c r="E7" s="3"/>
      <c r="F7" s="3"/>
      <c r="G7" s="3"/>
      <c r="H7" s="3"/>
      <c r="I7" s="3"/>
      <c r="J7" s="3"/>
      <c r="K7" s="3"/>
      <c r="L7" s="3"/>
      <c r="M7" s="3"/>
      <c r="N7" s="3"/>
      <c r="O7" s="3"/>
    </row>
    <row r="8" spans="1:15" x14ac:dyDescent="0.25">
      <c r="A8" s="3"/>
      <c r="B8" s="3"/>
      <c r="C8" s="3"/>
      <c r="D8" s="3"/>
      <c r="E8" s="3"/>
      <c r="F8" s="3"/>
      <c r="G8" s="3"/>
      <c r="H8" s="3"/>
      <c r="I8" s="3"/>
      <c r="J8" s="3"/>
      <c r="K8" s="3"/>
      <c r="L8" s="3"/>
      <c r="M8" s="3"/>
      <c r="N8" s="3"/>
      <c r="O8" s="3"/>
    </row>
    <row r="9" spans="1:15" x14ac:dyDescent="0.25">
      <c r="A9" s="3"/>
      <c r="B9" s="3"/>
      <c r="C9" s="3"/>
      <c r="D9" s="3"/>
      <c r="E9" s="3"/>
      <c r="F9" s="3"/>
      <c r="G9" s="3"/>
      <c r="H9" s="3"/>
      <c r="I9" s="3"/>
      <c r="J9" s="3"/>
      <c r="K9" s="3"/>
      <c r="L9" s="3"/>
      <c r="M9" s="3"/>
      <c r="N9" s="3"/>
      <c r="O9" s="3"/>
    </row>
    <row r="10" spans="1:15" x14ac:dyDescent="0.25">
      <c r="A10" s="3"/>
      <c r="B10" s="3"/>
      <c r="C10" s="3"/>
      <c r="D10" s="3"/>
      <c r="E10" s="3"/>
      <c r="F10" s="3"/>
      <c r="G10" s="3"/>
      <c r="H10" s="3"/>
      <c r="I10" s="3"/>
      <c r="J10" s="3"/>
      <c r="K10" s="3"/>
      <c r="L10" s="3"/>
      <c r="M10" s="3"/>
      <c r="N10" s="3"/>
      <c r="O10" s="3"/>
    </row>
    <row r="11" spans="1:15" x14ac:dyDescent="0.25">
      <c r="A11" s="3"/>
      <c r="B11" s="3"/>
      <c r="C11" s="3"/>
      <c r="D11" s="3"/>
      <c r="E11" s="3"/>
      <c r="F11" s="3"/>
      <c r="G11" s="3"/>
      <c r="H11" s="3"/>
      <c r="I11" s="3"/>
      <c r="J11" s="3"/>
      <c r="K11" s="3"/>
      <c r="L11" s="3"/>
      <c r="M11" s="3"/>
      <c r="N11" s="3"/>
      <c r="O11" s="3"/>
    </row>
    <row r="12" spans="1:15" x14ac:dyDescent="0.25">
      <c r="A12" s="3"/>
      <c r="B12" s="3"/>
      <c r="C12" s="3"/>
      <c r="D12" s="3"/>
      <c r="E12" s="3"/>
      <c r="F12" s="3"/>
      <c r="G12" s="3"/>
      <c r="H12" s="3"/>
      <c r="I12" s="3"/>
      <c r="J12" s="3"/>
      <c r="K12" s="3"/>
      <c r="L12" s="3"/>
      <c r="M12" s="3"/>
      <c r="N12" s="3"/>
      <c r="O12" s="3"/>
    </row>
    <row r="13" spans="1:15" x14ac:dyDescent="0.25">
      <c r="A13" s="3"/>
      <c r="B13" s="3"/>
      <c r="C13" s="3"/>
      <c r="D13" s="3"/>
      <c r="E13" s="3"/>
      <c r="F13" s="3"/>
      <c r="G13" s="3"/>
      <c r="H13" s="3"/>
      <c r="I13" s="3"/>
      <c r="J13" s="3"/>
      <c r="K13" s="3"/>
      <c r="L13" s="3"/>
      <c r="M13" s="3"/>
      <c r="N13" s="3"/>
      <c r="O13" s="3"/>
    </row>
    <row r="14" spans="1:15" x14ac:dyDescent="0.25">
      <c r="A14" s="3"/>
      <c r="B14" s="3"/>
      <c r="C14" s="3"/>
      <c r="D14" s="3"/>
      <c r="E14" s="3"/>
      <c r="F14" s="3"/>
      <c r="G14" s="3"/>
      <c r="H14" s="3"/>
      <c r="I14" s="3"/>
      <c r="J14" s="3"/>
      <c r="K14" s="3"/>
      <c r="L14" s="3"/>
      <c r="M14" s="3"/>
      <c r="N14" s="3"/>
      <c r="O14" s="3"/>
    </row>
    <row r="15" spans="1:15" x14ac:dyDescent="0.25">
      <c r="A15" s="3"/>
      <c r="B15" s="3"/>
      <c r="C15" s="3"/>
      <c r="D15" s="3"/>
      <c r="E15" s="3"/>
      <c r="F15" s="3"/>
      <c r="G15" s="3"/>
      <c r="H15" s="3"/>
      <c r="I15" s="3"/>
      <c r="J15" s="3"/>
      <c r="K15" s="3"/>
      <c r="L15" s="3"/>
      <c r="M15" s="3"/>
      <c r="N15" s="3"/>
      <c r="O15" s="3"/>
    </row>
    <row r="16" spans="1:15" x14ac:dyDescent="0.25">
      <c r="A16" s="3"/>
      <c r="B16" s="3"/>
      <c r="C16" s="3"/>
      <c r="D16" s="3"/>
      <c r="E16" s="3"/>
      <c r="F16" s="3"/>
      <c r="G16" s="3"/>
      <c r="H16" s="3"/>
      <c r="I16" s="3"/>
      <c r="J16" s="3"/>
      <c r="K16" s="3"/>
      <c r="L16" s="3"/>
      <c r="M16" s="3"/>
      <c r="N16" s="3"/>
      <c r="O16" s="3"/>
    </row>
    <row r="17" spans="1:15" x14ac:dyDescent="0.25">
      <c r="A17" s="3"/>
      <c r="B17" s="3"/>
      <c r="C17" s="3"/>
      <c r="D17" s="3"/>
      <c r="E17" s="3"/>
      <c r="F17" s="3"/>
      <c r="G17" s="3"/>
      <c r="H17" s="3"/>
      <c r="I17" s="3"/>
      <c r="J17" s="3"/>
      <c r="K17" s="3"/>
      <c r="L17" s="3"/>
      <c r="M17" s="3"/>
      <c r="N17" s="3"/>
      <c r="O17" s="3"/>
    </row>
    <row r="18" spans="1:15" x14ac:dyDescent="0.25">
      <c r="A18" s="3"/>
      <c r="B18" s="3"/>
      <c r="C18" s="3"/>
      <c r="D18" s="3"/>
      <c r="E18" s="3"/>
      <c r="F18" s="3"/>
      <c r="G18" s="3"/>
      <c r="H18" s="3"/>
      <c r="I18" s="3"/>
      <c r="J18" s="3"/>
      <c r="K18" s="3"/>
      <c r="L18" s="3"/>
      <c r="M18" s="3"/>
      <c r="N18" s="3"/>
      <c r="O18" s="3"/>
    </row>
    <row r="19" spans="1:15" x14ac:dyDescent="0.25">
      <c r="A19" s="3"/>
      <c r="B19" s="3"/>
      <c r="C19" s="3"/>
      <c r="D19" s="3"/>
      <c r="E19" s="3"/>
      <c r="F19" s="3"/>
      <c r="G19" s="3"/>
      <c r="H19" s="3"/>
      <c r="I19" s="3"/>
      <c r="J19" s="3"/>
      <c r="K19" s="3"/>
      <c r="L19" s="3"/>
      <c r="M19" s="3"/>
      <c r="N19" s="3"/>
      <c r="O19" s="3"/>
    </row>
    <row r="20" spans="1:15" x14ac:dyDescent="0.25">
      <c r="A20" s="3"/>
      <c r="B20" s="3"/>
      <c r="C20" s="3"/>
      <c r="D20" s="3"/>
      <c r="E20" s="3"/>
      <c r="F20" s="3"/>
      <c r="G20" s="3"/>
      <c r="H20" s="3"/>
      <c r="I20" s="3"/>
      <c r="J20" s="3"/>
      <c r="K20" s="3"/>
      <c r="L20" s="3"/>
      <c r="M20" s="3"/>
      <c r="N20" s="3"/>
      <c r="O20" s="3"/>
    </row>
    <row r="21" spans="1:15" x14ac:dyDescent="0.25">
      <c r="A21" s="3"/>
      <c r="B21" s="3"/>
      <c r="C21" s="3"/>
      <c r="D21" s="3"/>
      <c r="E21" s="3"/>
      <c r="F21" s="3"/>
      <c r="G21" s="3"/>
      <c r="H21" s="3"/>
      <c r="I21" s="3"/>
      <c r="J21" s="3"/>
      <c r="K21" s="3"/>
      <c r="L21" s="3"/>
      <c r="M21" s="3"/>
      <c r="N21" s="3"/>
      <c r="O21" s="3"/>
    </row>
    <row r="22" spans="1:15" x14ac:dyDescent="0.25">
      <c r="A22" s="3"/>
      <c r="B22" s="3"/>
      <c r="C22" s="3"/>
      <c r="D22" s="3"/>
      <c r="E22" s="3"/>
      <c r="F22" s="3"/>
      <c r="G22" s="3"/>
      <c r="H22" s="3"/>
      <c r="I22" s="3"/>
      <c r="J22" s="3"/>
      <c r="K22" s="3"/>
      <c r="L22" s="3"/>
      <c r="M22" s="3"/>
      <c r="N22" s="3"/>
      <c r="O22" s="3"/>
    </row>
    <row r="23" spans="1:15" x14ac:dyDescent="0.25">
      <c r="A23" s="3"/>
      <c r="B23" s="3"/>
      <c r="C23" s="3"/>
      <c r="D23" s="3"/>
      <c r="E23" s="3"/>
      <c r="F23" s="3"/>
      <c r="G23" s="3"/>
      <c r="H23" s="3"/>
      <c r="I23" s="3"/>
      <c r="J23" s="3"/>
      <c r="K23" s="3"/>
      <c r="L23" s="3"/>
      <c r="M23" s="3"/>
      <c r="N23" s="3"/>
      <c r="O23" s="3"/>
    </row>
    <row r="24" spans="1:15" x14ac:dyDescent="0.25">
      <c r="A24" s="3"/>
      <c r="B24" s="3"/>
      <c r="C24" s="3"/>
      <c r="D24" s="3"/>
      <c r="E24" s="3"/>
      <c r="F24" s="3"/>
      <c r="G24" s="3"/>
      <c r="H24" s="3"/>
      <c r="I24" s="3"/>
      <c r="J24" s="3"/>
      <c r="K24" s="3"/>
      <c r="L24" s="3"/>
      <c r="M24" s="3"/>
      <c r="N24" s="3"/>
      <c r="O24" s="3"/>
    </row>
    <row r="25" spans="1:15" x14ac:dyDescent="0.25">
      <c r="A25" s="3"/>
      <c r="B25" s="3"/>
      <c r="C25" s="3"/>
      <c r="D25" s="3"/>
      <c r="E25" s="3"/>
      <c r="F25" s="3"/>
      <c r="G25" s="3"/>
      <c r="H25" s="3"/>
      <c r="I25" s="3"/>
      <c r="J25" s="3"/>
      <c r="K25" s="3"/>
      <c r="L25" s="3"/>
      <c r="M25" s="3"/>
      <c r="N25" s="3"/>
      <c r="O25" s="3"/>
    </row>
  </sheetData>
  <pageMargins left="0.7" right="0.7" top="0.75" bottom="0.75" header="0.3" footer="0.3"/>
  <pageSetup paperSize="9" orientation="portrait" horizontalDpi="1200" verticalDpi="1200"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6960041-0250-4D5C-BEA4-BD4704169695}">
  <ds:schemaRefs/>
</ds:datastoreItem>
</file>

<file path=customXml/itemProps2.xml><?xml version="1.0" encoding="utf-8"?>
<ds:datastoreItem xmlns:ds="http://schemas.openxmlformats.org/officeDocument/2006/customXml" ds:itemID="{6BFAB565-2BAC-4F67-9DAF-1CCD02784B37}">
  <ds:schemaRefs/>
</ds:datastoreItem>
</file>

<file path=customXml/itemProps3.xml><?xml version="1.0" encoding="utf-8"?>
<ds:datastoreItem xmlns:ds="http://schemas.openxmlformats.org/officeDocument/2006/customXml" ds:itemID="{32B6D374-5A7E-4CAF-A2A9-11F007FB5741}">
  <ds:schemaRefs/>
</ds:datastoreItem>
</file>

<file path=customXml/itemProps4.xml><?xml version="1.0" encoding="utf-8"?>
<ds:datastoreItem xmlns:ds="http://schemas.openxmlformats.org/officeDocument/2006/customXml" ds:itemID="{A2C26423-8D4F-424B-A2B1-D8866CD27D64}">
  <ds:schemaRefs/>
</ds:datastoreItem>
</file>

<file path=customXml/itemProps5.xml><?xml version="1.0" encoding="utf-8"?>
<ds:datastoreItem xmlns:ds="http://schemas.openxmlformats.org/officeDocument/2006/customXml" ds:itemID="{A2824818-70E4-4DF6-BD18-4D62E55A9BCF}">
  <ds:schemaRefs>
    <ds:schemaRef ds:uri="http://schemas.microsoft.com/DataMashup"/>
  </ds:schemaRefs>
</ds:datastoreItem>
</file>

<file path=customXml/itemProps6.xml><?xml version="1.0" encoding="utf-8"?>
<ds:datastoreItem xmlns:ds="http://schemas.openxmlformats.org/officeDocument/2006/customXml" ds:itemID="{DA7BF1D6-4274-4502-8C66-18D41F81A10A}">
  <ds:schemaRefs/>
</ds:datastoreItem>
</file>

<file path=customXml/itemProps7.xml><?xml version="1.0" encoding="utf-8"?>
<ds:datastoreItem xmlns:ds="http://schemas.openxmlformats.org/officeDocument/2006/customXml" ds:itemID="{B7C5DE63-D389-4AF4-A497-9991E1326CB1}">
  <ds:schemaRefs/>
</ds:datastoreItem>
</file>

<file path=customXml/itemProps8.xml><?xml version="1.0" encoding="utf-8"?>
<ds:datastoreItem xmlns:ds="http://schemas.openxmlformats.org/officeDocument/2006/customXml" ds:itemID="{A9BEF6C7-AA24-4AE3-A6BE-0BAEBD5212E6}">
  <ds:schemaRefs/>
</ds:datastoreItem>
</file>

<file path=customXml/itemProps9.xml><?xml version="1.0" encoding="utf-8"?>
<ds:datastoreItem xmlns:ds="http://schemas.openxmlformats.org/officeDocument/2006/customXml" ds:itemID="{193C1525-E61B-4A8A-AD4A-984E285F8117}">
  <ds:schemaRefs/>
</ds:datastoreItem>
</file>

<file path=customXml/itemProps10.xml><?xml version="1.0" encoding="utf-8"?>
<ds:datastoreItem xmlns:ds="http://schemas.openxmlformats.org/officeDocument/2006/customXml" ds:itemID="{E87DF969-3284-4D41-91C3-7E496527AC42}">
  <ds:schemaRefs/>
</ds:datastoreItem>
</file>

<file path=customXml/itemProps11.xml><?xml version="1.0" encoding="utf-8"?>
<ds:datastoreItem xmlns:ds="http://schemas.openxmlformats.org/officeDocument/2006/customXml" ds:itemID="{F6923005-296C-4F93-ADD4-D0B51D0327E9}">
  <ds:schemaRefs/>
</ds:datastoreItem>
</file>

<file path=customXml/itemProps12.xml><?xml version="1.0" encoding="utf-8"?>
<ds:datastoreItem xmlns:ds="http://schemas.openxmlformats.org/officeDocument/2006/customXml" ds:itemID="{FCAD7E2F-533D-4036-9AED-8BF23EA48BF2}">
  <ds:schemaRefs/>
</ds:datastoreItem>
</file>

<file path=customXml/itemProps13.xml><?xml version="1.0" encoding="utf-8"?>
<ds:datastoreItem xmlns:ds="http://schemas.openxmlformats.org/officeDocument/2006/customXml" ds:itemID="{4F886D4B-893B-4169-8B67-50A209641C76}">
  <ds:schemaRefs/>
</ds:datastoreItem>
</file>

<file path=customXml/itemProps14.xml><?xml version="1.0" encoding="utf-8"?>
<ds:datastoreItem xmlns:ds="http://schemas.openxmlformats.org/officeDocument/2006/customXml" ds:itemID="{8ACD7AF5-89C6-4500-9C0E-1CF990D18EBC}">
  <ds:schemaRefs/>
</ds:datastoreItem>
</file>

<file path=customXml/itemProps15.xml><?xml version="1.0" encoding="utf-8"?>
<ds:datastoreItem xmlns:ds="http://schemas.openxmlformats.org/officeDocument/2006/customXml" ds:itemID="{DDBB89E4-666F-4C70-997A-DACE4E978470}">
  <ds:schemaRefs/>
</ds:datastoreItem>
</file>

<file path=customXml/itemProps16.xml><?xml version="1.0" encoding="utf-8"?>
<ds:datastoreItem xmlns:ds="http://schemas.openxmlformats.org/officeDocument/2006/customXml" ds:itemID="{EBA3AF00-AF9B-4DFA-AF7E-BAA5A4D82B88}">
  <ds:schemaRefs/>
</ds:datastoreItem>
</file>

<file path=customXml/itemProps17.xml><?xml version="1.0" encoding="utf-8"?>
<ds:datastoreItem xmlns:ds="http://schemas.openxmlformats.org/officeDocument/2006/customXml" ds:itemID="{0BC17756-93E2-47BE-942B-3FAC57B0FBC2}">
  <ds:schemaRefs/>
</ds:datastoreItem>
</file>

<file path=customXml/itemProps18.xml><?xml version="1.0" encoding="utf-8"?>
<ds:datastoreItem xmlns:ds="http://schemas.openxmlformats.org/officeDocument/2006/customXml" ds:itemID="{4F505911-EBE2-4E2B-B376-846E3B518D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Average Waiting Time Daily</vt:lpstr>
      <vt:lpstr>Daily ER No of Patients</vt:lpstr>
      <vt:lpstr>Satisfaction Score Daily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2025-07-05T05:14:43Z</dcterms:created>
  <dcterms:modified xsi:type="dcterms:W3CDTF">2026-03-15T15:34:42Z</dcterms:modified>
</cp:coreProperties>
</file>